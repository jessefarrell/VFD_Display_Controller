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_projects\GITHUB\VFD_Display_Controller\design_documents\"/>
    </mc:Choice>
  </mc:AlternateContent>
  <xr:revisionPtr revIDLastSave="0" documentId="13_ncr:1_{77EDA940-FAB7-42C4-BDFC-23A32E4FB5B7}" xr6:coauthVersionLast="47" xr6:coauthVersionMax="47" xr10:uidLastSave="{00000000-0000-0000-0000-000000000000}"/>
  <bookViews>
    <workbookView xWindow="4920" yWindow="-16320" windowWidth="29040" windowHeight="15720" xr2:uid="{335EE5D1-C40C-4499-AD8D-8DEC7B334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8" i="1" l="1" a="1"/>
  <c r="P88" i="1" s="1"/>
  <c r="P82" i="1"/>
  <c r="P79" i="1"/>
  <c r="P80" i="1"/>
  <c r="P81" i="1"/>
  <c r="P78" i="1"/>
  <c r="Q78" i="1" a="1"/>
  <c r="Q78" i="1" s="1"/>
  <c r="Q63" i="1"/>
  <c r="Q64" i="1"/>
  <c r="Q65" i="1"/>
  <c r="Q66" i="1"/>
  <c r="P66" i="1"/>
  <c r="P63" i="1"/>
  <c r="P64" i="1"/>
  <c r="P65" i="1"/>
  <c r="Q62" i="1"/>
  <c r="P62" i="1"/>
  <c r="Q52" i="1"/>
  <c r="Q53" i="1"/>
  <c r="Q54" i="1"/>
  <c r="Q55" i="1"/>
  <c r="Q56" i="1"/>
  <c r="Q57" i="1"/>
  <c r="Q58" i="1"/>
  <c r="Q59" i="1"/>
  <c r="Q60" i="1"/>
  <c r="Q61" i="1"/>
  <c r="Q51" i="1"/>
  <c r="P61" i="1"/>
  <c r="P52" i="1"/>
  <c r="P53" i="1"/>
  <c r="P54" i="1"/>
  <c r="P55" i="1"/>
  <c r="P56" i="1"/>
  <c r="P57" i="1"/>
  <c r="P58" i="1"/>
  <c r="P59" i="1"/>
  <c r="P60" i="1"/>
  <c r="P51" i="1"/>
  <c r="Q48" i="1"/>
  <c r="Q49" i="1"/>
  <c r="Q50" i="1"/>
  <c r="Q47" i="1"/>
  <c r="P48" i="1"/>
  <c r="P49" i="1"/>
  <c r="P50" i="1"/>
  <c r="P47" i="1"/>
  <c r="D229" i="1"/>
  <c r="E229" i="1"/>
  <c r="F229" i="1"/>
  <c r="G229" i="1"/>
  <c r="H229" i="1"/>
  <c r="I229" i="1"/>
  <c r="J229" i="1"/>
  <c r="K229" i="1"/>
  <c r="M229" i="1"/>
  <c r="D230" i="1"/>
  <c r="A230" i="1" s="1"/>
  <c r="E230" i="1"/>
  <c r="F230" i="1"/>
  <c r="G230" i="1"/>
  <c r="H230" i="1"/>
  <c r="I230" i="1"/>
  <c r="J230" i="1"/>
  <c r="K230" i="1"/>
  <c r="M230" i="1"/>
  <c r="D231" i="1"/>
  <c r="E231" i="1"/>
  <c r="F231" i="1"/>
  <c r="G231" i="1"/>
  <c r="H231" i="1"/>
  <c r="I231" i="1"/>
  <c r="J231" i="1"/>
  <c r="K231" i="1"/>
  <c r="M231" i="1"/>
  <c r="D232" i="1"/>
  <c r="E232" i="1"/>
  <c r="F232" i="1"/>
  <c r="G232" i="1"/>
  <c r="H232" i="1"/>
  <c r="I232" i="1"/>
  <c r="J232" i="1"/>
  <c r="K232" i="1"/>
  <c r="M232" i="1"/>
  <c r="D233" i="1"/>
  <c r="E233" i="1"/>
  <c r="B233" i="1" s="1"/>
  <c r="F233" i="1"/>
  <c r="G233" i="1"/>
  <c r="H233" i="1"/>
  <c r="I233" i="1"/>
  <c r="J233" i="1"/>
  <c r="K233" i="1"/>
  <c r="M233" i="1"/>
  <c r="D234" i="1"/>
  <c r="E234" i="1"/>
  <c r="F234" i="1"/>
  <c r="G234" i="1"/>
  <c r="H234" i="1"/>
  <c r="I234" i="1"/>
  <c r="J234" i="1"/>
  <c r="K234" i="1"/>
  <c r="M234" i="1"/>
  <c r="D235" i="1"/>
  <c r="E235" i="1"/>
  <c r="F235" i="1"/>
  <c r="G235" i="1"/>
  <c r="H235" i="1"/>
  <c r="I235" i="1"/>
  <c r="J235" i="1"/>
  <c r="K235" i="1"/>
  <c r="M235" i="1"/>
  <c r="D236" i="1"/>
  <c r="E236" i="1"/>
  <c r="F236" i="1"/>
  <c r="G236" i="1"/>
  <c r="H236" i="1"/>
  <c r="I236" i="1"/>
  <c r="J236" i="1"/>
  <c r="K236" i="1"/>
  <c r="M236" i="1"/>
  <c r="D237" i="1"/>
  <c r="A237" i="1" s="1"/>
  <c r="E237" i="1"/>
  <c r="F237" i="1"/>
  <c r="G237" i="1"/>
  <c r="H237" i="1"/>
  <c r="I237" i="1"/>
  <c r="J237" i="1"/>
  <c r="K237" i="1"/>
  <c r="M237" i="1"/>
  <c r="D238" i="1"/>
  <c r="E238" i="1"/>
  <c r="F238" i="1"/>
  <c r="G238" i="1"/>
  <c r="H238" i="1"/>
  <c r="I238" i="1"/>
  <c r="J238" i="1"/>
  <c r="K238" i="1"/>
  <c r="M238" i="1"/>
  <c r="A239" i="1"/>
  <c r="D239" i="1"/>
  <c r="B239" i="1" s="1"/>
  <c r="E239" i="1"/>
  <c r="F239" i="1"/>
  <c r="G239" i="1"/>
  <c r="H239" i="1"/>
  <c r="I239" i="1"/>
  <c r="J239" i="1"/>
  <c r="K239" i="1"/>
  <c r="M239" i="1"/>
  <c r="D240" i="1"/>
  <c r="A240" i="1" s="1"/>
  <c r="E240" i="1"/>
  <c r="F240" i="1"/>
  <c r="G240" i="1"/>
  <c r="H240" i="1"/>
  <c r="I240" i="1"/>
  <c r="J240" i="1"/>
  <c r="K240" i="1"/>
  <c r="M240" i="1"/>
  <c r="D241" i="1"/>
  <c r="E241" i="1"/>
  <c r="F241" i="1"/>
  <c r="G241" i="1"/>
  <c r="H241" i="1"/>
  <c r="I241" i="1"/>
  <c r="J241" i="1"/>
  <c r="K241" i="1"/>
  <c r="M241" i="1"/>
  <c r="A242" i="1"/>
  <c r="D242" i="1"/>
  <c r="B242" i="1" s="1"/>
  <c r="E242" i="1"/>
  <c r="F242" i="1"/>
  <c r="G242" i="1"/>
  <c r="H242" i="1"/>
  <c r="I242" i="1"/>
  <c r="J242" i="1"/>
  <c r="K242" i="1"/>
  <c r="M242" i="1"/>
  <c r="D243" i="1"/>
  <c r="E243" i="1"/>
  <c r="F243" i="1"/>
  <c r="G243" i="1"/>
  <c r="H243" i="1"/>
  <c r="I243" i="1"/>
  <c r="J243" i="1"/>
  <c r="K243" i="1"/>
  <c r="M243" i="1"/>
  <c r="D244" i="1"/>
  <c r="A244" i="1" s="1"/>
  <c r="E244" i="1"/>
  <c r="F244" i="1"/>
  <c r="G244" i="1"/>
  <c r="H244" i="1"/>
  <c r="I244" i="1"/>
  <c r="J244" i="1"/>
  <c r="K244" i="1"/>
  <c r="M244" i="1"/>
  <c r="D245" i="1"/>
  <c r="E245" i="1"/>
  <c r="F245" i="1"/>
  <c r="G245" i="1"/>
  <c r="H245" i="1"/>
  <c r="I245" i="1"/>
  <c r="J245" i="1"/>
  <c r="K245" i="1"/>
  <c r="M245" i="1"/>
  <c r="D246" i="1"/>
  <c r="A246" i="1" s="1"/>
  <c r="E246" i="1"/>
  <c r="F246" i="1"/>
  <c r="G246" i="1"/>
  <c r="H246" i="1"/>
  <c r="I246" i="1"/>
  <c r="J246" i="1"/>
  <c r="K246" i="1"/>
  <c r="M246" i="1"/>
  <c r="D247" i="1"/>
  <c r="E247" i="1"/>
  <c r="F247" i="1"/>
  <c r="G247" i="1"/>
  <c r="H247" i="1"/>
  <c r="I247" i="1"/>
  <c r="J247" i="1"/>
  <c r="K247" i="1"/>
  <c r="M247" i="1"/>
  <c r="D248" i="1"/>
  <c r="E248" i="1"/>
  <c r="F248" i="1"/>
  <c r="G248" i="1"/>
  <c r="H248" i="1"/>
  <c r="I248" i="1"/>
  <c r="J248" i="1"/>
  <c r="K248" i="1"/>
  <c r="M248" i="1"/>
  <c r="D249" i="1"/>
  <c r="A249" i="1" s="1"/>
  <c r="E249" i="1"/>
  <c r="B249" i="1" s="1"/>
  <c r="F249" i="1"/>
  <c r="G249" i="1"/>
  <c r="H249" i="1"/>
  <c r="I249" i="1"/>
  <c r="J249" i="1"/>
  <c r="K249" i="1"/>
  <c r="M249" i="1"/>
  <c r="D250" i="1"/>
  <c r="E250" i="1"/>
  <c r="F250" i="1"/>
  <c r="G250" i="1"/>
  <c r="H250" i="1"/>
  <c r="I250" i="1"/>
  <c r="J250" i="1"/>
  <c r="K250" i="1"/>
  <c r="M250" i="1"/>
  <c r="D251" i="1"/>
  <c r="E251" i="1"/>
  <c r="F251" i="1"/>
  <c r="G251" i="1"/>
  <c r="H251" i="1"/>
  <c r="I251" i="1"/>
  <c r="J251" i="1"/>
  <c r="K251" i="1"/>
  <c r="M251" i="1"/>
  <c r="D252" i="1"/>
  <c r="E252" i="1"/>
  <c r="F252" i="1"/>
  <c r="G252" i="1"/>
  <c r="H252" i="1"/>
  <c r="I252" i="1"/>
  <c r="J252" i="1"/>
  <c r="K252" i="1"/>
  <c r="M252" i="1"/>
  <c r="D253" i="1"/>
  <c r="E253" i="1"/>
  <c r="F253" i="1"/>
  <c r="G253" i="1"/>
  <c r="H253" i="1"/>
  <c r="I253" i="1"/>
  <c r="J253" i="1"/>
  <c r="K253" i="1"/>
  <c r="M253" i="1"/>
  <c r="M228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54" i="1"/>
  <c r="M164" i="1"/>
  <c r="M162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34" i="1"/>
  <c r="M135" i="1"/>
  <c r="M136" i="1"/>
  <c r="M137" i="1"/>
  <c r="M138" i="1"/>
  <c r="M139" i="1"/>
  <c r="M140" i="1"/>
  <c r="M133" i="1"/>
  <c r="M132" i="1"/>
  <c r="D67" i="1"/>
  <c r="E67" i="1"/>
  <c r="F67" i="1"/>
  <c r="G67" i="1"/>
  <c r="H67" i="1"/>
  <c r="I67" i="1"/>
  <c r="J67" i="1"/>
  <c r="K67" i="1"/>
  <c r="D68" i="1"/>
  <c r="E68" i="1"/>
  <c r="F68" i="1"/>
  <c r="G68" i="1"/>
  <c r="H68" i="1"/>
  <c r="I68" i="1"/>
  <c r="J68" i="1"/>
  <c r="K68" i="1"/>
  <c r="D69" i="1"/>
  <c r="E69" i="1"/>
  <c r="F69" i="1"/>
  <c r="G69" i="1"/>
  <c r="H69" i="1"/>
  <c r="I69" i="1"/>
  <c r="J69" i="1"/>
  <c r="K69" i="1"/>
  <c r="D70" i="1"/>
  <c r="E70" i="1"/>
  <c r="F70" i="1"/>
  <c r="G70" i="1"/>
  <c r="H70" i="1"/>
  <c r="I70" i="1"/>
  <c r="J70" i="1"/>
  <c r="K70" i="1"/>
  <c r="D71" i="1"/>
  <c r="E71" i="1"/>
  <c r="F71" i="1"/>
  <c r="G71" i="1"/>
  <c r="H71" i="1"/>
  <c r="I71" i="1"/>
  <c r="J71" i="1"/>
  <c r="K71" i="1"/>
  <c r="D72" i="1"/>
  <c r="E72" i="1"/>
  <c r="F72" i="1"/>
  <c r="G72" i="1"/>
  <c r="H72" i="1"/>
  <c r="I72" i="1"/>
  <c r="J72" i="1"/>
  <c r="K72" i="1"/>
  <c r="D73" i="1"/>
  <c r="E73" i="1"/>
  <c r="B73" i="1" s="1"/>
  <c r="F73" i="1"/>
  <c r="G73" i="1"/>
  <c r="H73" i="1"/>
  <c r="I73" i="1"/>
  <c r="J73" i="1"/>
  <c r="K73" i="1"/>
  <c r="D74" i="1"/>
  <c r="E74" i="1"/>
  <c r="F74" i="1"/>
  <c r="G74" i="1"/>
  <c r="H74" i="1"/>
  <c r="I74" i="1"/>
  <c r="J74" i="1"/>
  <c r="K74" i="1"/>
  <c r="D75" i="1"/>
  <c r="E75" i="1"/>
  <c r="F75" i="1"/>
  <c r="G75" i="1"/>
  <c r="H75" i="1"/>
  <c r="I75" i="1"/>
  <c r="J75" i="1"/>
  <c r="K75" i="1"/>
  <c r="D76" i="1"/>
  <c r="E76" i="1"/>
  <c r="F76" i="1"/>
  <c r="G76" i="1"/>
  <c r="H76" i="1"/>
  <c r="I76" i="1"/>
  <c r="J76" i="1"/>
  <c r="K76" i="1"/>
  <c r="D77" i="1"/>
  <c r="E77" i="1"/>
  <c r="F77" i="1"/>
  <c r="G77" i="1"/>
  <c r="H77" i="1"/>
  <c r="I77" i="1"/>
  <c r="J77" i="1"/>
  <c r="K77" i="1"/>
  <c r="D78" i="1"/>
  <c r="E78" i="1"/>
  <c r="F78" i="1"/>
  <c r="G78" i="1"/>
  <c r="H78" i="1"/>
  <c r="I78" i="1"/>
  <c r="J78" i="1"/>
  <c r="K78" i="1"/>
  <c r="D79" i="1"/>
  <c r="E79" i="1"/>
  <c r="F79" i="1"/>
  <c r="G79" i="1"/>
  <c r="H79" i="1"/>
  <c r="I79" i="1"/>
  <c r="J79" i="1"/>
  <c r="K79" i="1"/>
  <c r="D80" i="1"/>
  <c r="E80" i="1"/>
  <c r="F80" i="1"/>
  <c r="G80" i="1"/>
  <c r="H80" i="1"/>
  <c r="I80" i="1"/>
  <c r="J80" i="1"/>
  <c r="K80" i="1"/>
  <c r="D81" i="1"/>
  <c r="E81" i="1"/>
  <c r="F81" i="1"/>
  <c r="G81" i="1"/>
  <c r="H81" i="1"/>
  <c r="I81" i="1"/>
  <c r="J81" i="1"/>
  <c r="K81" i="1"/>
  <c r="D82" i="1"/>
  <c r="E82" i="1"/>
  <c r="F82" i="1"/>
  <c r="G82" i="1"/>
  <c r="H82" i="1"/>
  <c r="I82" i="1"/>
  <c r="J82" i="1"/>
  <c r="K82" i="1"/>
  <c r="D83" i="1"/>
  <c r="B83" i="1" s="1"/>
  <c r="E83" i="1"/>
  <c r="F83" i="1"/>
  <c r="G83" i="1"/>
  <c r="H83" i="1"/>
  <c r="I83" i="1"/>
  <c r="J83" i="1"/>
  <c r="K83" i="1"/>
  <c r="D84" i="1"/>
  <c r="E84" i="1"/>
  <c r="F84" i="1"/>
  <c r="G84" i="1"/>
  <c r="H84" i="1"/>
  <c r="I84" i="1"/>
  <c r="J84" i="1"/>
  <c r="K84" i="1"/>
  <c r="D85" i="1"/>
  <c r="E85" i="1"/>
  <c r="F85" i="1"/>
  <c r="G85" i="1"/>
  <c r="H85" i="1"/>
  <c r="I85" i="1"/>
  <c r="J85" i="1"/>
  <c r="K85" i="1"/>
  <c r="D86" i="1"/>
  <c r="E86" i="1"/>
  <c r="F86" i="1"/>
  <c r="G86" i="1"/>
  <c r="H86" i="1"/>
  <c r="I86" i="1"/>
  <c r="J86" i="1"/>
  <c r="K86" i="1"/>
  <c r="D87" i="1"/>
  <c r="E87" i="1"/>
  <c r="F87" i="1"/>
  <c r="G87" i="1"/>
  <c r="H87" i="1"/>
  <c r="I87" i="1"/>
  <c r="J87" i="1"/>
  <c r="K87" i="1"/>
  <c r="D88" i="1"/>
  <c r="E88" i="1"/>
  <c r="F88" i="1"/>
  <c r="G88" i="1"/>
  <c r="H88" i="1"/>
  <c r="I88" i="1"/>
  <c r="J88" i="1"/>
  <c r="K88" i="1"/>
  <c r="D89" i="1"/>
  <c r="E89" i="1"/>
  <c r="F89" i="1"/>
  <c r="G89" i="1"/>
  <c r="H89" i="1"/>
  <c r="I89" i="1"/>
  <c r="J89" i="1"/>
  <c r="K89" i="1"/>
  <c r="D90" i="1"/>
  <c r="E90" i="1"/>
  <c r="F90" i="1"/>
  <c r="G90" i="1"/>
  <c r="H90" i="1"/>
  <c r="I90" i="1"/>
  <c r="J90" i="1"/>
  <c r="K90" i="1"/>
  <c r="D91" i="1"/>
  <c r="E91" i="1"/>
  <c r="F91" i="1"/>
  <c r="G91" i="1"/>
  <c r="H91" i="1"/>
  <c r="I91" i="1"/>
  <c r="J91" i="1"/>
  <c r="K91" i="1"/>
  <c r="D92" i="1"/>
  <c r="E92" i="1"/>
  <c r="F92" i="1"/>
  <c r="G92" i="1"/>
  <c r="H92" i="1"/>
  <c r="I92" i="1"/>
  <c r="J92" i="1"/>
  <c r="K92" i="1"/>
  <c r="D93" i="1"/>
  <c r="E93" i="1"/>
  <c r="F93" i="1"/>
  <c r="G93" i="1"/>
  <c r="H93" i="1"/>
  <c r="I93" i="1"/>
  <c r="J93" i="1"/>
  <c r="K93" i="1"/>
  <c r="D94" i="1"/>
  <c r="E94" i="1"/>
  <c r="F94" i="1"/>
  <c r="G94" i="1"/>
  <c r="H94" i="1"/>
  <c r="I94" i="1"/>
  <c r="J94" i="1"/>
  <c r="K94" i="1"/>
  <c r="D95" i="1"/>
  <c r="E95" i="1"/>
  <c r="F95" i="1"/>
  <c r="G95" i="1"/>
  <c r="H95" i="1"/>
  <c r="I95" i="1"/>
  <c r="J95" i="1"/>
  <c r="K95" i="1"/>
  <c r="D96" i="1"/>
  <c r="E96" i="1"/>
  <c r="F96" i="1"/>
  <c r="G96" i="1"/>
  <c r="H96" i="1"/>
  <c r="I96" i="1"/>
  <c r="J96" i="1"/>
  <c r="K96" i="1"/>
  <c r="D97" i="1"/>
  <c r="E97" i="1"/>
  <c r="F97" i="1"/>
  <c r="G97" i="1"/>
  <c r="H97" i="1"/>
  <c r="I97" i="1"/>
  <c r="J97" i="1"/>
  <c r="K97" i="1"/>
  <c r="D98" i="1"/>
  <c r="E98" i="1"/>
  <c r="F98" i="1"/>
  <c r="G98" i="1"/>
  <c r="H98" i="1"/>
  <c r="I98" i="1"/>
  <c r="J98" i="1"/>
  <c r="K98" i="1"/>
  <c r="D99" i="1"/>
  <c r="E99" i="1"/>
  <c r="F99" i="1"/>
  <c r="G99" i="1"/>
  <c r="H99" i="1"/>
  <c r="I99" i="1"/>
  <c r="J99" i="1"/>
  <c r="K99" i="1"/>
  <c r="D100" i="1"/>
  <c r="E100" i="1"/>
  <c r="F100" i="1"/>
  <c r="G100" i="1"/>
  <c r="H100" i="1"/>
  <c r="I100" i="1"/>
  <c r="J100" i="1"/>
  <c r="K100" i="1"/>
  <c r="D101" i="1"/>
  <c r="E101" i="1"/>
  <c r="F101" i="1"/>
  <c r="G101" i="1"/>
  <c r="H101" i="1"/>
  <c r="I101" i="1"/>
  <c r="J101" i="1"/>
  <c r="K101" i="1"/>
  <c r="D102" i="1"/>
  <c r="E102" i="1"/>
  <c r="F102" i="1"/>
  <c r="G102" i="1"/>
  <c r="H102" i="1"/>
  <c r="I102" i="1"/>
  <c r="J102" i="1"/>
  <c r="K102" i="1"/>
  <c r="D103" i="1"/>
  <c r="E103" i="1"/>
  <c r="F103" i="1"/>
  <c r="G103" i="1"/>
  <c r="H103" i="1"/>
  <c r="I103" i="1"/>
  <c r="J103" i="1"/>
  <c r="K103" i="1"/>
  <c r="D104" i="1"/>
  <c r="E104" i="1"/>
  <c r="F104" i="1"/>
  <c r="G104" i="1"/>
  <c r="H104" i="1"/>
  <c r="I104" i="1"/>
  <c r="J104" i="1"/>
  <c r="K104" i="1"/>
  <c r="D105" i="1"/>
  <c r="B105" i="1" s="1"/>
  <c r="E105" i="1"/>
  <c r="F105" i="1"/>
  <c r="G105" i="1"/>
  <c r="H105" i="1"/>
  <c r="I105" i="1"/>
  <c r="J105" i="1"/>
  <c r="K105" i="1"/>
  <c r="D106" i="1"/>
  <c r="E106" i="1"/>
  <c r="F106" i="1"/>
  <c r="G106" i="1"/>
  <c r="H106" i="1"/>
  <c r="I106" i="1"/>
  <c r="J106" i="1"/>
  <c r="K106" i="1"/>
  <c r="D107" i="1"/>
  <c r="E107" i="1"/>
  <c r="F107" i="1"/>
  <c r="G107" i="1"/>
  <c r="H107" i="1"/>
  <c r="I107" i="1"/>
  <c r="J107" i="1"/>
  <c r="K107" i="1"/>
  <c r="D108" i="1"/>
  <c r="E108" i="1"/>
  <c r="F108" i="1"/>
  <c r="G108" i="1"/>
  <c r="H108" i="1"/>
  <c r="I108" i="1"/>
  <c r="J108" i="1"/>
  <c r="K108" i="1"/>
  <c r="D109" i="1"/>
  <c r="E109" i="1"/>
  <c r="F109" i="1"/>
  <c r="G109" i="1"/>
  <c r="H109" i="1"/>
  <c r="I109" i="1"/>
  <c r="J109" i="1"/>
  <c r="K109" i="1"/>
  <c r="D110" i="1"/>
  <c r="E110" i="1"/>
  <c r="F110" i="1"/>
  <c r="G110" i="1"/>
  <c r="H110" i="1"/>
  <c r="I110" i="1"/>
  <c r="J110" i="1"/>
  <c r="K110" i="1"/>
  <c r="D111" i="1"/>
  <c r="E111" i="1"/>
  <c r="F111" i="1"/>
  <c r="G111" i="1"/>
  <c r="H111" i="1"/>
  <c r="I111" i="1"/>
  <c r="J111" i="1"/>
  <c r="K111" i="1"/>
  <c r="D112" i="1"/>
  <c r="E112" i="1"/>
  <c r="F112" i="1"/>
  <c r="G112" i="1"/>
  <c r="H112" i="1"/>
  <c r="I112" i="1"/>
  <c r="J112" i="1"/>
  <c r="K112" i="1"/>
  <c r="D113" i="1"/>
  <c r="E113" i="1"/>
  <c r="F113" i="1"/>
  <c r="G113" i="1"/>
  <c r="H113" i="1"/>
  <c r="I113" i="1"/>
  <c r="J113" i="1"/>
  <c r="K113" i="1"/>
  <c r="D114" i="1"/>
  <c r="E114" i="1"/>
  <c r="F114" i="1"/>
  <c r="G114" i="1"/>
  <c r="H114" i="1"/>
  <c r="I114" i="1"/>
  <c r="J114" i="1"/>
  <c r="K114" i="1"/>
  <c r="D115" i="1"/>
  <c r="E115" i="1"/>
  <c r="F115" i="1"/>
  <c r="G115" i="1"/>
  <c r="H115" i="1"/>
  <c r="I115" i="1"/>
  <c r="J115" i="1"/>
  <c r="K115" i="1"/>
  <c r="D116" i="1"/>
  <c r="E116" i="1"/>
  <c r="F116" i="1"/>
  <c r="G116" i="1"/>
  <c r="H116" i="1"/>
  <c r="I116" i="1"/>
  <c r="J116" i="1"/>
  <c r="K116" i="1"/>
  <c r="D117" i="1"/>
  <c r="E117" i="1"/>
  <c r="F117" i="1"/>
  <c r="G117" i="1"/>
  <c r="H117" i="1"/>
  <c r="I117" i="1"/>
  <c r="J117" i="1"/>
  <c r="K117" i="1"/>
  <c r="D118" i="1"/>
  <c r="E118" i="1"/>
  <c r="F118" i="1"/>
  <c r="G118" i="1"/>
  <c r="H118" i="1"/>
  <c r="I118" i="1"/>
  <c r="J118" i="1"/>
  <c r="K118" i="1"/>
  <c r="D119" i="1"/>
  <c r="E119" i="1"/>
  <c r="F119" i="1"/>
  <c r="G119" i="1"/>
  <c r="H119" i="1"/>
  <c r="I119" i="1"/>
  <c r="J119" i="1"/>
  <c r="K119" i="1"/>
  <c r="D120" i="1"/>
  <c r="E120" i="1"/>
  <c r="F120" i="1"/>
  <c r="G120" i="1"/>
  <c r="H120" i="1"/>
  <c r="I120" i="1"/>
  <c r="J120" i="1"/>
  <c r="K120" i="1"/>
  <c r="D121" i="1"/>
  <c r="E121" i="1"/>
  <c r="F121" i="1"/>
  <c r="G121" i="1"/>
  <c r="H121" i="1"/>
  <c r="I121" i="1"/>
  <c r="J121" i="1"/>
  <c r="K121" i="1"/>
  <c r="D122" i="1"/>
  <c r="E122" i="1"/>
  <c r="F122" i="1"/>
  <c r="G122" i="1"/>
  <c r="H122" i="1"/>
  <c r="I122" i="1"/>
  <c r="J122" i="1"/>
  <c r="K122" i="1"/>
  <c r="D123" i="1"/>
  <c r="E123" i="1"/>
  <c r="F123" i="1"/>
  <c r="G123" i="1"/>
  <c r="H123" i="1"/>
  <c r="I123" i="1"/>
  <c r="J123" i="1"/>
  <c r="K123" i="1"/>
  <c r="D124" i="1"/>
  <c r="E124" i="1"/>
  <c r="F124" i="1"/>
  <c r="G124" i="1"/>
  <c r="H124" i="1"/>
  <c r="I124" i="1"/>
  <c r="J124" i="1"/>
  <c r="K124" i="1"/>
  <c r="D125" i="1"/>
  <c r="E125" i="1"/>
  <c r="F125" i="1"/>
  <c r="G125" i="1"/>
  <c r="H125" i="1"/>
  <c r="I125" i="1"/>
  <c r="J125" i="1"/>
  <c r="K125" i="1"/>
  <c r="D126" i="1"/>
  <c r="E126" i="1"/>
  <c r="F126" i="1"/>
  <c r="G126" i="1"/>
  <c r="H126" i="1"/>
  <c r="I126" i="1"/>
  <c r="J126" i="1"/>
  <c r="K126" i="1"/>
  <c r="D127" i="1"/>
  <c r="E127" i="1"/>
  <c r="F127" i="1"/>
  <c r="G127" i="1"/>
  <c r="H127" i="1"/>
  <c r="I127" i="1"/>
  <c r="J127" i="1"/>
  <c r="K127" i="1"/>
  <c r="D128" i="1"/>
  <c r="E128" i="1"/>
  <c r="F128" i="1"/>
  <c r="G128" i="1"/>
  <c r="H128" i="1"/>
  <c r="I128" i="1"/>
  <c r="J128" i="1"/>
  <c r="K128" i="1"/>
  <c r="D129" i="1"/>
  <c r="E129" i="1"/>
  <c r="F129" i="1"/>
  <c r="G129" i="1"/>
  <c r="H129" i="1"/>
  <c r="I129" i="1"/>
  <c r="J129" i="1"/>
  <c r="K129" i="1"/>
  <c r="D130" i="1"/>
  <c r="E130" i="1"/>
  <c r="F130" i="1"/>
  <c r="G130" i="1"/>
  <c r="H130" i="1"/>
  <c r="I130" i="1"/>
  <c r="J130" i="1"/>
  <c r="K130" i="1"/>
  <c r="D131" i="1"/>
  <c r="E131" i="1"/>
  <c r="F131" i="1"/>
  <c r="G131" i="1"/>
  <c r="H131" i="1"/>
  <c r="I131" i="1"/>
  <c r="J131" i="1"/>
  <c r="K131" i="1"/>
  <c r="D132" i="1"/>
  <c r="E132" i="1"/>
  <c r="F132" i="1"/>
  <c r="G132" i="1"/>
  <c r="H132" i="1"/>
  <c r="I132" i="1"/>
  <c r="J132" i="1"/>
  <c r="K132" i="1"/>
  <c r="D133" i="1"/>
  <c r="E133" i="1"/>
  <c r="F133" i="1"/>
  <c r="G133" i="1"/>
  <c r="H133" i="1"/>
  <c r="I133" i="1"/>
  <c r="J133" i="1"/>
  <c r="K133" i="1"/>
  <c r="D134" i="1"/>
  <c r="E134" i="1"/>
  <c r="F134" i="1"/>
  <c r="G134" i="1"/>
  <c r="H134" i="1"/>
  <c r="I134" i="1"/>
  <c r="J134" i="1"/>
  <c r="K134" i="1"/>
  <c r="D135" i="1"/>
  <c r="E135" i="1"/>
  <c r="F135" i="1"/>
  <c r="G135" i="1"/>
  <c r="H135" i="1"/>
  <c r="I135" i="1"/>
  <c r="J135" i="1"/>
  <c r="K135" i="1"/>
  <c r="D136" i="1"/>
  <c r="E136" i="1"/>
  <c r="F136" i="1"/>
  <c r="G136" i="1"/>
  <c r="H136" i="1"/>
  <c r="I136" i="1"/>
  <c r="J136" i="1"/>
  <c r="K136" i="1"/>
  <c r="D137" i="1"/>
  <c r="E137" i="1"/>
  <c r="F137" i="1"/>
  <c r="G137" i="1"/>
  <c r="H137" i="1"/>
  <c r="I137" i="1"/>
  <c r="J137" i="1"/>
  <c r="K137" i="1"/>
  <c r="D138" i="1"/>
  <c r="E138" i="1"/>
  <c r="F138" i="1"/>
  <c r="G138" i="1"/>
  <c r="H138" i="1"/>
  <c r="I138" i="1"/>
  <c r="J138" i="1"/>
  <c r="K138" i="1"/>
  <c r="D139" i="1"/>
  <c r="E139" i="1"/>
  <c r="F139" i="1"/>
  <c r="G139" i="1"/>
  <c r="H139" i="1"/>
  <c r="I139" i="1"/>
  <c r="J139" i="1"/>
  <c r="K139" i="1"/>
  <c r="D140" i="1"/>
  <c r="E140" i="1"/>
  <c r="F140" i="1"/>
  <c r="G140" i="1"/>
  <c r="H140" i="1"/>
  <c r="I140" i="1"/>
  <c r="J140" i="1"/>
  <c r="K140" i="1"/>
  <c r="D141" i="1"/>
  <c r="E141" i="1"/>
  <c r="F141" i="1"/>
  <c r="G141" i="1"/>
  <c r="H141" i="1"/>
  <c r="I141" i="1"/>
  <c r="J141" i="1"/>
  <c r="K141" i="1"/>
  <c r="D142" i="1"/>
  <c r="E142" i="1"/>
  <c r="F142" i="1"/>
  <c r="G142" i="1"/>
  <c r="H142" i="1"/>
  <c r="I142" i="1"/>
  <c r="J142" i="1"/>
  <c r="K142" i="1"/>
  <c r="D143" i="1"/>
  <c r="E143" i="1"/>
  <c r="F143" i="1"/>
  <c r="G143" i="1"/>
  <c r="H143" i="1"/>
  <c r="I143" i="1"/>
  <c r="J143" i="1"/>
  <c r="K143" i="1"/>
  <c r="D144" i="1"/>
  <c r="E144" i="1"/>
  <c r="F144" i="1"/>
  <c r="G144" i="1"/>
  <c r="H144" i="1"/>
  <c r="I144" i="1"/>
  <c r="J144" i="1"/>
  <c r="K144" i="1"/>
  <c r="D145" i="1"/>
  <c r="E145" i="1"/>
  <c r="F145" i="1"/>
  <c r="G145" i="1"/>
  <c r="H145" i="1"/>
  <c r="I145" i="1"/>
  <c r="J145" i="1"/>
  <c r="K145" i="1"/>
  <c r="D146" i="1"/>
  <c r="E146" i="1"/>
  <c r="F146" i="1"/>
  <c r="G146" i="1"/>
  <c r="H146" i="1"/>
  <c r="I146" i="1"/>
  <c r="J146" i="1"/>
  <c r="K146" i="1"/>
  <c r="D147" i="1"/>
  <c r="E147" i="1"/>
  <c r="F147" i="1"/>
  <c r="G147" i="1"/>
  <c r="H147" i="1"/>
  <c r="I147" i="1"/>
  <c r="J147" i="1"/>
  <c r="K147" i="1"/>
  <c r="D148" i="1"/>
  <c r="E148" i="1"/>
  <c r="F148" i="1"/>
  <c r="G148" i="1"/>
  <c r="H148" i="1"/>
  <c r="I148" i="1"/>
  <c r="J148" i="1"/>
  <c r="K148" i="1"/>
  <c r="D149" i="1"/>
  <c r="E149" i="1"/>
  <c r="F149" i="1"/>
  <c r="G149" i="1"/>
  <c r="H149" i="1"/>
  <c r="I149" i="1"/>
  <c r="J149" i="1"/>
  <c r="K149" i="1"/>
  <c r="D150" i="1"/>
  <c r="E150" i="1"/>
  <c r="F150" i="1"/>
  <c r="G150" i="1"/>
  <c r="H150" i="1"/>
  <c r="I150" i="1"/>
  <c r="J150" i="1"/>
  <c r="K150" i="1"/>
  <c r="D151" i="1"/>
  <c r="E151" i="1"/>
  <c r="F151" i="1"/>
  <c r="G151" i="1"/>
  <c r="H151" i="1"/>
  <c r="I151" i="1"/>
  <c r="J151" i="1"/>
  <c r="K151" i="1"/>
  <c r="D152" i="1"/>
  <c r="E152" i="1"/>
  <c r="F152" i="1"/>
  <c r="G152" i="1"/>
  <c r="H152" i="1"/>
  <c r="I152" i="1"/>
  <c r="J152" i="1"/>
  <c r="K152" i="1"/>
  <c r="D153" i="1"/>
  <c r="E153" i="1"/>
  <c r="F153" i="1"/>
  <c r="G153" i="1"/>
  <c r="H153" i="1"/>
  <c r="I153" i="1"/>
  <c r="J153" i="1"/>
  <c r="K153" i="1"/>
  <c r="D154" i="1"/>
  <c r="E154" i="1"/>
  <c r="F154" i="1"/>
  <c r="G154" i="1"/>
  <c r="H154" i="1"/>
  <c r="I154" i="1"/>
  <c r="J154" i="1"/>
  <c r="K154" i="1"/>
  <c r="D155" i="1"/>
  <c r="E155" i="1"/>
  <c r="F155" i="1"/>
  <c r="G155" i="1"/>
  <c r="H155" i="1"/>
  <c r="I155" i="1"/>
  <c r="J155" i="1"/>
  <c r="K155" i="1"/>
  <c r="D156" i="1"/>
  <c r="E156" i="1"/>
  <c r="F156" i="1"/>
  <c r="G156" i="1"/>
  <c r="H156" i="1"/>
  <c r="I156" i="1"/>
  <c r="J156" i="1"/>
  <c r="K156" i="1"/>
  <c r="D157" i="1"/>
  <c r="E157" i="1"/>
  <c r="F157" i="1"/>
  <c r="G157" i="1"/>
  <c r="H157" i="1"/>
  <c r="I157" i="1"/>
  <c r="J157" i="1"/>
  <c r="K157" i="1"/>
  <c r="D158" i="1"/>
  <c r="E158" i="1"/>
  <c r="F158" i="1"/>
  <c r="G158" i="1"/>
  <c r="H158" i="1"/>
  <c r="I158" i="1"/>
  <c r="J158" i="1"/>
  <c r="K158" i="1"/>
  <c r="D159" i="1"/>
  <c r="E159" i="1"/>
  <c r="F159" i="1"/>
  <c r="G159" i="1"/>
  <c r="H159" i="1"/>
  <c r="I159" i="1"/>
  <c r="J159" i="1"/>
  <c r="K159" i="1"/>
  <c r="D160" i="1"/>
  <c r="E160" i="1"/>
  <c r="F160" i="1"/>
  <c r="G160" i="1"/>
  <c r="H160" i="1"/>
  <c r="I160" i="1"/>
  <c r="J160" i="1"/>
  <c r="K160" i="1"/>
  <c r="D161" i="1"/>
  <c r="E161" i="1"/>
  <c r="F161" i="1"/>
  <c r="G161" i="1"/>
  <c r="H161" i="1"/>
  <c r="I161" i="1"/>
  <c r="J161" i="1"/>
  <c r="K161" i="1"/>
  <c r="D162" i="1"/>
  <c r="E162" i="1"/>
  <c r="F162" i="1"/>
  <c r="G162" i="1"/>
  <c r="H162" i="1"/>
  <c r="I162" i="1"/>
  <c r="J162" i="1"/>
  <c r="K162" i="1"/>
  <c r="D163" i="1"/>
  <c r="E163" i="1"/>
  <c r="F163" i="1"/>
  <c r="G163" i="1"/>
  <c r="H163" i="1"/>
  <c r="I163" i="1"/>
  <c r="J163" i="1"/>
  <c r="K163" i="1"/>
  <c r="D164" i="1"/>
  <c r="E164" i="1"/>
  <c r="F164" i="1"/>
  <c r="G164" i="1"/>
  <c r="H164" i="1"/>
  <c r="I164" i="1"/>
  <c r="J164" i="1"/>
  <c r="K164" i="1"/>
  <c r="D165" i="1"/>
  <c r="E165" i="1"/>
  <c r="F165" i="1"/>
  <c r="G165" i="1"/>
  <c r="H165" i="1"/>
  <c r="I165" i="1"/>
  <c r="J165" i="1"/>
  <c r="K165" i="1"/>
  <c r="D166" i="1"/>
  <c r="E166" i="1"/>
  <c r="F166" i="1"/>
  <c r="G166" i="1"/>
  <c r="H166" i="1"/>
  <c r="I166" i="1"/>
  <c r="J166" i="1"/>
  <c r="K166" i="1"/>
  <c r="D167" i="1"/>
  <c r="E167" i="1"/>
  <c r="F167" i="1"/>
  <c r="G167" i="1"/>
  <c r="H167" i="1"/>
  <c r="I167" i="1"/>
  <c r="J167" i="1"/>
  <c r="K167" i="1"/>
  <c r="D168" i="1"/>
  <c r="E168" i="1"/>
  <c r="F168" i="1"/>
  <c r="G168" i="1"/>
  <c r="H168" i="1"/>
  <c r="I168" i="1"/>
  <c r="J168" i="1"/>
  <c r="K168" i="1"/>
  <c r="D169" i="1"/>
  <c r="E169" i="1"/>
  <c r="F169" i="1"/>
  <c r="G169" i="1"/>
  <c r="H169" i="1"/>
  <c r="I169" i="1"/>
  <c r="J169" i="1"/>
  <c r="K169" i="1"/>
  <c r="D170" i="1"/>
  <c r="E170" i="1"/>
  <c r="F170" i="1"/>
  <c r="G170" i="1"/>
  <c r="H170" i="1"/>
  <c r="I170" i="1"/>
  <c r="J170" i="1"/>
  <c r="K170" i="1"/>
  <c r="D171" i="1"/>
  <c r="E171" i="1"/>
  <c r="F171" i="1"/>
  <c r="G171" i="1"/>
  <c r="H171" i="1"/>
  <c r="I171" i="1"/>
  <c r="J171" i="1"/>
  <c r="K171" i="1"/>
  <c r="D172" i="1"/>
  <c r="E172" i="1"/>
  <c r="F172" i="1"/>
  <c r="G172" i="1"/>
  <c r="H172" i="1"/>
  <c r="I172" i="1"/>
  <c r="J172" i="1"/>
  <c r="K172" i="1"/>
  <c r="D173" i="1"/>
  <c r="E173" i="1"/>
  <c r="F173" i="1"/>
  <c r="G173" i="1"/>
  <c r="H173" i="1"/>
  <c r="I173" i="1"/>
  <c r="J173" i="1"/>
  <c r="K173" i="1"/>
  <c r="D174" i="1"/>
  <c r="E174" i="1"/>
  <c r="F174" i="1"/>
  <c r="G174" i="1"/>
  <c r="H174" i="1"/>
  <c r="I174" i="1"/>
  <c r="J174" i="1"/>
  <c r="K174" i="1"/>
  <c r="D175" i="1"/>
  <c r="E175" i="1"/>
  <c r="F175" i="1"/>
  <c r="G175" i="1"/>
  <c r="H175" i="1"/>
  <c r="I175" i="1"/>
  <c r="J175" i="1"/>
  <c r="K175" i="1"/>
  <c r="D176" i="1"/>
  <c r="E176" i="1"/>
  <c r="F176" i="1"/>
  <c r="G176" i="1"/>
  <c r="H176" i="1"/>
  <c r="I176" i="1"/>
  <c r="J176" i="1"/>
  <c r="K176" i="1"/>
  <c r="D177" i="1"/>
  <c r="E177" i="1"/>
  <c r="F177" i="1"/>
  <c r="G177" i="1"/>
  <c r="H177" i="1"/>
  <c r="I177" i="1"/>
  <c r="J177" i="1"/>
  <c r="K177" i="1"/>
  <c r="D178" i="1"/>
  <c r="E178" i="1"/>
  <c r="F178" i="1"/>
  <c r="G178" i="1"/>
  <c r="H178" i="1"/>
  <c r="I178" i="1"/>
  <c r="J178" i="1"/>
  <c r="K178" i="1"/>
  <c r="D179" i="1"/>
  <c r="E179" i="1"/>
  <c r="F179" i="1"/>
  <c r="G179" i="1"/>
  <c r="H179" i="1"/>
  <c r="I179" i="1"/>
  <c r="J179" i="1"/>
  <c r="K179" i="1"/>
  <c r="D180" i="1"/>
  <c r="E180" i="1"/>
  <c r="F180" i="1"/>
  <c r="G180" i="1"/>
  <c r="H180" i="1"/>
  <c r="I180" i="1"/>
  <c r="J180" i="1"/>
  <c r="K180" i="1"/>
  <c r="D181" i="1"/>
  <c r="E181" i="1"/>
  <c r="F181" i="1"/>
  <c r="G181" i="1"/>
  <c r="H181" i="1"/>
  <c r="I181" i="1"/>
  <c r="J181" i="1"/>
  <c r="K181" i="1"/>
  <c r="D182" i="1"/>
  <c r="E182" i="1"/>
  <c r="F182" i="1"/>
  <c r="G182" i="1"/>
  <c r="H182" i="1"/>
  <c r="I182" i="1"/>
  <c r="J182" i="1"/>
  <c r="K182" i="1"/>
  <c r="D183" i="1"/>
  <c r="E183" i="1"/>
  <c r="F183" i="1"/>
  <c r="G183" i="1"/>
  <c r="H183" i="1"/>
  <c r="I183" i="1"/>
  <c r="J183" i="1"/>
  <c r="K183" i="1"/>
  <c r="D184" i="1"/>
  <c r="E184" i="1"/>
  <c r="F184" i="1"/>
  <c r="G184" i="1"/>
  <c r="H184" i="1"/>
  <c r="I184" i="1"/>
  <c r="J184" i="1"/>
  <c r="K184" i="1"/>
  <c r="D185" i="1"/>
  <c r="E185" i="1"/>
  <c r="F185" i="1"/>
  <c r="G185" i="1"/>
  <c r="H185" i="1"/>
  <c r="I185" i="1"/>
  <c r="J185" i="1"/>
  <c r="K185" i="1"/>
  <c r="D186" i="1"/>
  <c r="E186" i="1"/>
  <c r="F186" i="1"/>
  <c r="G186" i="1"/>
  <c r="H186" i="1"/>
  <c r="I186" i="1"/>
  <c r="J186" i="1"/>
  <c r="K186" i="1"/>
  <c r="D187" i="1"/>
  <c r="E187" i="1"/>
  <c r="F187" i="1"/>
  <c r="G187" i="1"/>
  <c r="H187" i="1"/>
  <c r="I187" i="1"/>
  <c r="J187" i="1"/>
  <c r="K187" i="1"/>
  <c r="D188" i="1"/>
  <c r="E188" i="1"/>
  <c r="F188" i="1"/>
  <c r="G188" i="1"/>
  <c r="H188" i="1"/>
  <c r="I188" i="1"/>
  <c r="J188" i="1"/>
  <c r="K188" i="1"/>
  <c r="D189" i="1"/>
  <c r="E189" i="1"/>
  <c r="F189" i="1"/>
  <c r="G189" i="1"/>
  <c r="H189" i="1"/>
  <c r="I189" i="1"/>
  <c r="J189" i="1"/>
  <c r="K189" i="1"/>
  <c r="D190" i="1"/>
  <c r="E190" i="1"/>
  <c r="F190" i="1"/>
  <c r="G190" i="1"/>
  <c r="H190" i="1"/>
  <c r="I190" i="1"/>
  <c r="J190" i="1"/>
  <c r="K190" i="1"/>
  <c r="D191" i="1"/>
  <c r="E191" i="1"/>
  <c r="F191" i="1"/>
  <c r="G191" i="1"/>
  <c r="H191" i="1"/>
  <c r="I191" i="1"/>
  <c r="J191" i="1"/>
  <c r="K191" i="1"/>
  <c r="D192" i="1"/>
  <c r="E192" i="1"/>
  <c r="F192" i="1"/>
  <c r="G192" i="1"/>
  <c r="H192" i="1"/>
  <c r="I192" i="1"/>
  <c r="J192" i="1"/>
  <c r="K192" i="1"/>
  <c r="D193" i="1"/>
  <c r="E193" i="1"/>
  <c r="F193" i="1"/>
  <c r="G193" i="1"/>
  <c r="H193" i="1"/>
  <c r="I193" i="1"/>
  <c r="J193" i="1"/>
  <c r="K193" i="1"/>
  <c r="D194" i="1"/>
  <c r="E194" i="1"/>
  <c r="F194" i="1"/>
  <c r="G194" i="1"/>
  <c r="H194" i="1"/>
  <c r="I194" i="1"/>
  <c r="J194" i="1"/>
  <c r="K194" i="1"/>
  <c r="D195" i="1"/>
  <c r="E195" i="1"/>
  <c r="F195" i="1"/>
  <c r="G195" i="1"/>
  <c r="H195" i="1"/>
  <c r="I195" i="1"/>
  <c r="J195" i="1"/>
  <c r="K195" i="1"/>
  <c r="D196" i="1"/>
  <c r="E196" i="1"/>
  <c r="F196" i="1"/>
  <c r="G196" i="1"/>
  <c r="H196" i="1"/>
  <c r="I196" i="1"/>
  <c r="J196" i="1"/>
  <c r="K196" i="1"/>
  <c r="D197" i="1"/>
  <c r="E197" i="1"/>
  <c r="F197" i="1"/>
  <c r="G197" i="1"/>
  <c r="H197" i="1"/>
  <c r="I197" i="1"/>
  <c r="J197" i="1"/>
  <c r="K197" i="1"/>
  <c r="D198" i="1"/>
  <c r="E198" i="1"/>
  <c r="F198" i="1"/>
  <c r="G198" i="1"/>
  <c r="H198" i="1"/>
  <c r="I198" i="1"/>
  <c r="J198" i="1"/>
  <c r="K198" i="1"/>
  <c r="D199" i="1"/>
  <c r="E199" i="1"/>
  <c r="F199" i="1"/>
  <c r="G199" i="1"/>
  <c r="H199" i="1"/>
  <c r="I199" i="1"/>
  <c r="J199" i="1"/>
  <c r="K199" i="1"/>
  <c r="D200" i="1"/>
  <c r="E200" i="1"/>
  <c r="F200" i="1"/>
  <c r="G200" i="1"/>
  <c r="H200" i="1"/>
  <c r="I200" i="1"/>
  <c r="J200" i="1"/>
  <c r="K200" i="1"/>
  <c r="D201" i="1"/>
  <c r="E201" i="1"/>
  <c r="F201" i="1"/>
  <c r="G201" i="1"/>
  <c r="H201" i="1"/>
  <c r="I201" i="1"/>
  <c r="J201" i="1"/>
  <c r="K201" i="1"/>
  <c r="D202" i="1"/>
  <c r="E202" i="1"/>
  <c r="F202" i="1"/>
  <c r="G202" i="1"/>
  <c r="H202" i="1"/>
  <c r="I202" i="1"/>
  <c r="J202" i="1"/>
  <c r="K202" i="1"/>
  <c r="D203" i="1"/>
  <c r="E203" i="1"/>
  <c r="F203" i="1"/>
  <c r="G203" i="1"/>
  <c r="H203" i="1"/>
  <c r="I203" i="1"/>
  <c r="J203" i="1"/>
  <c r="K203" i="1"/>
  <c r="D204" i="1"/>
  <c r="E204" i="1"/>
  <c r="F204" i="1"/>
  <c r="G204" i="1"/>
  <c r="H204" i="1"/>
  <c r="I204" i="1"/>
  <c r="J204" i="1"/>
  <c r="K204" i="1"/>
  <c r="D205" i="1"/>
  <c r="E205" i="1"/>
  <c r="F205" i="1"/>
  <c r="G205" i="1"/>
  <c r="H205" i="1"/>
  <c r="I205" i="1"/>
  <c r="J205" i="1"/>
  <c r="K205" i="1"/>
  <c r="D206" i="1"/>
  <c r="E206" i="1"/>
  <c r="F206" i="1"/>
  <c r="G206" i="1"/>
  <c r="H206" i="1"/>
  <c r="I206" i="1"/>
  <c r="J206" i="1"/>
  <c r="K206" i="1"/>
  <c r="D207" i="1"/>
  <c r="E207" i="1"/>
  <c r="F207" i="1"/>
  <c r="G207" i="1"/>
  <c r="H207" i="1"/>
  <c r="I207" i="1"/>
  <c r="J207" i="1"/>
  <c r="K207" i="1"/>
  <c r="D208" i="1"/>
  <c r="E208" i="1"/>
  <c r="F208" i="1"/>
  <c r="G208" i="1"/>
  <c r="H208" i="1"/>
  <c r="I208" i="1"/>
  <c r="J208" i="1"/>
  <c r="K208" i="1"/>
  <c r="D209" i="1"/>
  <c r="E209" i="1"/>
  <c r="F209" i="1"/>
  <c r="G209" i="1"/>
  <c r="H209" i="1"/>
  <c r="I209" i="1"/>
  <c r="J209" i="1"/>
  <c r="K209" i="1"/>
  <c r="D210" i="1"/>
  <c r="E210" i="1"/>
  <c r="F210" i="1"/>
  <c r="G210" i="1"/>
  <c r="H210" i="1"/>
  <c r="I210" i="1"/>
  <c r="J210" i="1"/>
  <c r="K210" i="1"/>
  <c r="D211" i="1"/>
  <c r="E211" i="1"/>
  <c r="F211" i="1"/>
  <c r="G211" i="1"/>
  <c r="H211" i="1"/>
  <c r="I211" i="1"/>
  <c r="J211" i="1"/>
  <c r="K211" i="1"/>
  <c r="D212" i="1"/>
  <c r="E212" i="1"/>
  <c r="F212" i="1"/>
  <c r="G212" i="1"/>
  <c r="H212" i="1"/>
  <c r="I212" i="1"/>
  <c r="J212" i="1"/>
  <c r="K212" i="1"/>
  <c r="D213" i="1"/>
  <c r="E213" i="1"/>
  <c r="F213" i="1"/>
  <c r="G213" i="1"/>
  <c r="H213" i="1"/>
  <c r="I213" i="1"/>
  <c r="J213" i="1"/>
  <c r="K213" i="1"/>
  <c r="D214" i="1"/>
  <c r="E214" i="1"/>
  <c r="F214" i="1"/>
  <c r="G214" i="1"/>
  <c r="H214" i="1"/>
  <c r="I214" i="1"/>
  <c r="J214" i="1"/>
  <c r="K214" i="1"/>
  <c r="D215" i="1"/>
  <c r="E215" i="1"/>
  <c r="F215" i="1"/>
  <c r="G215" i="1"/>
  <c r="H215" i="1"/>
  <c r="I215" i="1"/>
  <c r="J215" i="1"/>
  <c r="K215" i="1"/>
  <c r="D216" i="1"/>
  <c r="E216" i="1"/>
  <c r="F216" i="1"/>
  <c r="G216" i="1"/>
  <c r="H216" i="1"/>
  <c r="I216" i="1"/>
  <c r="J216" i="1"/>
  <c r="K216" i="1"/>
  <c r="D217" i="1"/>
  <c r="E217" i="1"/>
  <c r="F217" i="1"/>
  <c r="G217" i="1"/>
  <c r="H217" i="1"/>
  <c r="I217" i="1"/>
  <c r="J217" i="1"/>
  <c r="K217" i="1"/>
  <c r="D218" i="1"/>
  <c r="E218" i="1"/>
  <c r="F218" i="1"/>
  <c r="G218" i="1"/>
  <c r="H218" i="1"/>
  <c r="I218" i="1"/>
  <c r="J218" i="1"/>
  <c r="K218" i="1"/>
  <c r="D219" i="1"/>
  <c r="E219" i="1"/>
  <c r="F219" i="1"/>
  <c r="G219" i="1"/>
  <c r="H219" i="1"/>
  <c r="I219" i="1"/>
  <c r="J219" i="1"/>
  <c r="K219" i="1"/>
  <c r="D220" i="1"/>
  <c r="E220" i="1"/>
  <c r="F220" i="1"/>
  <c r="G220" i="1"/>
  <c r="H220" i="1"/>
  <c r="I220" i="1"/>
  <c r="J220" i="1"/>
  <c r="K220" i="1"/>
  <c r="D221" i="1"/>
  <c r="E221" i="1"/>
  <c r="F221" i="1"/>
  <c r="G221" i="1"/>
  <c r="H221" i="1"/>
  <c r="I221" i="1"/>
  <c r="J221" i="1"/>
  <c r="K221" i="1"/>
  <c r="D222" i="1"/>
  <c r="E222" i="1"/>
  <c r="F222" i="1"/>
  <c r="G222" i="1"/>
  <c r="H222" i="1"/>
  <c r="I222" i="1"/>
  <c r="J222" i="1"/>
  <c r="K222" i="1"/>
  <c r="D223" i="1"/>
  <c r="E223" i="1"/>
  <c r="F223" i="1"/>
  <c r="G223" i="1"/>
  <c r="H223" i="1"/>
  <c r="I223" i="1"/>
  <c r="J223" i="1"/>
  <c r="K223" i="1"/>
  <c r="D224" i="1"/>
  <c r="E224" i="1"/>
  <c r="F224" i="1"/>
  <c r="G224" i="1"/>
  <c r="H224" i="1"/>
  <c r="I224" i="1"/>
  <c r="J224" i="1"/>
  <c r="K224" i="1"/>
  <c r="D225" i="1"/>
  <c r="E225" i="1"/>
  <c r="F225" i="1"/>
  <c r="G225" i="1"/>
  <c r="H225" i="1"/>
  <c r="I225" i="1"/>
  <c r="J225" i="1"/>
  <c r="K225" i="1"/>
  <c r="D226" i="1"/>
  <c r="E226" i="1"/>
  <c r="F226" i="1"/>
  <c r="G226" i="1"/>
  <c r="H226" i="1"/>
  <c r="I226" i="1"/>
  <c r="J226" i="1"/>
  <c r="K226" i="1"/>
  <c r="D227" i="1"/>
  <c r="E227" i="1"/>
  <c r="F227" i="1"/>
  <c r="G227" i="1"/>
  <c r="H227" i="1"/>
  <c r="I227" i="1"/>
  <c r="J227" i="1"/>
  <c r="K227" i="1"/>
  <c r="D228" i="1"/>
  <c r="E228" i="1"/>
  <c r="F228" i="1"/>
  <c r="G228" i="1"/>
  <c r="H228" i="1"/>
  <c r="I228" i="1"/>
  <c r="J228" i="1"/>
  <c r="K228" i="1"/>
  <c r="D254" i="1"/>
  <c r="E254" i="1"/>
  <c r="F254" i="1"/>
  <c r="G254" i="1"/>
  <c r="H254" i="1"/>
  <c r="I254" i="1"/>
  <c r="J254" i="1"/>
  <c r="K254" i="1"/>
  <c r="D255" i="1"/>
  <c r="E255" i="1"/>
  <c r="F255" i="1"/>
  <c r="G255" i="1"/>
  <c r="H255" i="1"/>
  <c r="I255" i="1"/>
  <c r="J255" i="1"/>
  <c r="K255" i="1"/>
  <c r="D256" i="1"/>
  <c r="E256" i="1"/>
  <c r="F256" i="1"/>
  <c r="G256" i="1"/>
  <c r="H256" i="1"/>
  <c r="I256" i="1"/>
  <c r="J256" i="1"/>
  <c r="K256" i="1"/>
  <c r="D257" i="1"/>
  <c r="E257" i="1"/>
  <c r="F257" i="1"/>
  <c r="G257" i="1"/>
  <c r="H257" i="1"/>
  <c r="I257" i="1"/>
  <c r="J257" i="1"/>
  <c r="K257" i="1"/>
  <c r="D258" i="1"/>
  <c r="E258" i="1"/>
  <c r="F258" i="1"/>
  <c r="G258" i="1"/>
  <c r="H258" i="1"/>
  <c r="I258" i="1"/>
  <c r="J258" i="1"/>
  <c r="K258" i="1"/>
  <c r="D37" i="1"/>
  <c r="E37" i="1"/>
  <c r="F37" i="1"/>
  <c r="G37" i="1"/>
  <c r="H37" i="1"/>
  <c r="I37" i="1"/>
  <c r="J37" i="1"/>
  <c r="K37" i="1"/>
  <c r="D38" i="1"/>
  <c r="E38" i="1"/>
  <c r="F38" i="1"/>
  <c r="G38" i="1"/>
  <c r="H38" i="1"/>
  <c r="I38" i="1"/>
  <c r="J38" i="1"/>
  <c r="K38" i="1"/>
  <c r="D39" i="1"/>
  <c r="E39" i="1"/>
  <c r="F39" i="1"/>
  <c r="G39" i="1"/>
  <c r="H39" i="1"/>
  <c r="I39" i="1"/>
  <c r="J39" i="1"/>
  <c r="K39" i="1"/>
  <c r="D40" i="1"/>
  <c r="E40" i="1"/>
  <c r="F40" i="1"/>
  <c r="G40" i="1"/>
  <c r="H40" i="1"/>
  <c r="I40" i="1"/>
  <c r="J40" i="1"/>
  <c r="K40" i="1"/>
  <c r="D41" i="1"/>
  <c r="E41" i="1"/>
  <c r="F41" i="1"/>
  <c r="G41" i="1"/>
  <c r="H41" i="1"/>
  <c r="I41" i="1"/>
  <c r="J41" i="1"/>
  <c r="K41" i="1"/>
  <c r="D42" i="1"/>
  <c r="E42" i="1"/>
  <c r="F42" i="1"/>
  <c r="G42" i="1"/>
  <c r="H42" i="1"/>
  <c r="I42" i="1"/>
  <c r="J42" i="1"/>
  <c r="K42" i="1"/>
  <c r="D43" i="1"/>
  <c r="E43" i="1"/>
  <c r="F43" i="1"/>
  <c r="G43" i="1"/>
  <c r="H43" i="1"/>
  <c r="I43" i="1"/>
  <c r="J43" i="1"/>
  <c r="K43" i="1"/>
  <c r="D44" i="1"/>
  <c r="E44" i="1"/>
  <c r="F44" i="1"/>
  <c r="G44" i="1"/>
  <c r="H44" i="1"/>
  <c r="I44" i="1"/>
  <c r="J44" i="1"/>
  <c r="K44" i="1"/>
  <c r="D45" i="1"/>
  <c r="E45" i="1"/>
  <c r="F45" i="1"/>
  <c r="G45" i="1"/>
  <c r="H45" i="1"/>
  <c r="I45" i="1"/>
  <c r="J45" i="1"/>
  <c r="K45" i="1"/>
  <c r="D46" i="1"/>
  <c r="E46" i="1"/>
  <c r="F46" i="1"/>
  <c r="G46" i="1"/>
  <c r="H46" i="1"/>
  <c r="I46" i="1"/>
  <c r="J46" i="1"/>
  <c r="K46" i="1"/>
  <c r="D47" i="1"/>
  <c r="E47" i="1"/>
  <c r="F47" i="1"/>
  <c r="G47" i="1"/>
  <c r="H47" i="1"/>
  <c r="I47" i="1"/>
  <c r="J47" i="1"/>
  <c r="K47" i="1"/>
  <c r="D48" i="1"/>
  <c r="E48" i="1"/>
  <c r="F48" i="1"/>
  <c r="G48" i="1"/>
  <c r="H48" i="1"/>
  <c r="I48" i="1"/>
  <c r="J48" i="1"/>
  <c r="K48" i="1"/>
  <c r="D49" i="1"/>
  <c r="E49" i="1"/>
  <c r="F49" i="1"/>
  <c r="G49" i="1"/>
  <c r="H49" i="1"/>
  <c r="I49" i="1"/>
  <c r="J49" i="1"/>
  <c r="K49" i="1"/>
  <c r="D50" i="1"/>
  <c r="E50" i="1"/>
  <c r="F50" i="1"/>
  <c r="G50" i="1"/>
  <c r="H50" i="1"/>
  <c r="I50" i="1"/>
  <c r="J50" i="1"/>
  <c r="K50" i="1"/>
  <c r="D51" i="1"/>
  <c r="E51" i="1"/>
  <c r="F51" i="1"/>
  <c r="G51" i="1"/>
  <c r="H51" i="1"/>
  <c r="I51" i="1"/>
  <c r="J51" i="1"/>
  <c r="K51" i="1"/>
  <c r="D52" i="1"/>
  <c r="E52" i="1"/>
  <c r="F52" i="1"/>
  <c r="G52" i="1"/>
  <c r="H52" i="1"/>
  <c r="I52" i="1"/>
  <c r="J52" i="1"/>
  <c r="K52" i="1"/>
  <c r="D53" i="1"/>
  <c r="E53" i="1"/>
  <c r="F53" i="1"/>
  <c r="G53" i="1"/>
  <c r="H53" i="1"/>
  <c r="I53" i="1"/>
  <c r="J53" i="1"/>
  <c r="K53" i="1"/>
  <c r="D54" i="1"/>
  <c r="E54" i="1"/>
  <c r="F54" i="1"/>
  <c r="G54" i="1"/>
  <c r="H54" i="1"/>
  <c r="I54" i="1"/>
  <c r="J54" i="1"/>
  <c r="K54" i="1"/>
  <c r="D55" i="1"/>
  <c r="E55" i="1"/>
  <c r="F55" i="1"/>
  <c r="G55" i="1"/>
  <c r="H55" i="1"/>
  <c r="I55" i="1"/>
  <c r="J55" i="1"/>
  <c r="K55" i="1"/>
  <c r="D56" i="1"/>
  <c r="E56" i="1"/>
  <c r="F56" i="1"/>
  <c r="G56" i="1"/>
  <c r="H56" i="1"/>
  <c r="I56" i="1"/>
  <c r="J56" i="1"/>
  <c r="K56" i="1"/>
  <c r="D57" i="1"/>
  <c r="E57" i="1"/>
  <c r="F57" i="1"/>
  <c r="G57" i="1"/>
  <c r="H57" i="1"/>
  <c r="I57" i="1"/>
  <c r="J57" i="1"/>
  <c r="K57" i="1"/>
  <c r="D58" i="1"/>
  <c r="E58" i="1"/>
  <c r="F58" i="1"/>
  <c r="G58" i="1"/>
  <c r="H58" i="1"/>
  <c r="I58" i="1"/>
  <c r="J58" i="1"/>
  <c r="K58" i="1"/>
  <c r="D59" i="1"/>
  <c r="E59" i="1"/>
  <c r="F59" i="1"/>
  <c r="G59" i="1"/>
  <c r="H59" i="1"/>
  <c r="I59" i="1"/>
  <c r="J59" i="1"/>
  <c r="K59" i="1"/>
  <c r="D60" i="1"/>
  <c r="E60" i="1"/>
  <c r="F60" i="1"/>
  <c r="G60" i="1"/>
  <c r="H60" i="1"/>
  <c r="I60" i="1"/>
  <c r="J60" i="1"/>
  <c r="K60" i="1"/>
  <c r="D61" i="1"/>
  <c r="E61" i="1"/>
  <c r="F61" i="1"/>
  <c r="G61" i="1"/>
  <c r="H61" i="1"/>
  <c r="I61" i="1"/>
  <c r="J61" i="1"/>
  <c r="K61" i="1"/>
  <c r="D62" i="1"/>
  <c r="E62" i="1"/>
  <c r="F62" i="1"/>
  <c r="G62" i="1"/>
  <c r="H62" i="1"/>
  <c r="I62" i="1"/>
  <c r="J62" i="1"/>
  <c r="K62" i="1"/>
  <c r="D63" i="1"/>
  <c r="E63" i="1"/>
  <c r="F63" i="1"/>
  <c r="G63" i="1"/>
  <c r="H63" i="1"/>
  <c r="I63" i="1"/>
  <c r="J63" i="1"/>
  <c r="K63" i="1"/>
  <c r="D64" i="1"/>
  <c r="E64" i="1"/>
  <c r="F64" i="1"/>
  <c r="G64" i="1"/>
  <c r="H64" i="1"/>
  <c r="I64" i="1"/>
  <c r="J64" i="1"/>
  <c r="K64" i="1"/>
  <c r="D65" i="1"/>
  <c r="E65" i="1"/>
  <c r="F65" i="1"/>
  <c r="G65" i="1"/>
  <c r="H65" i="1"/>
  <c r="I65" i="1"/>
  <c r="J65" i="1"/>
  <c r="K65" i="1"/>
  <c r="D66" i="1"/>
  <c r="E66" i="1"/>
  <c r="F66" i="1"/>
  <c r="G66" i="1"/>
  <c r="H66" i="1"/>
  <c r="I66" i="1"/>
  <c r="J66" i="1"/>
  <c r="K66" i="1"/>
  <c r="D16" i="1"/>
  <c r="E16" i="1"/>
  <c r="F16" i="1"/>
  <c r="G16" i="1"/>
  <c r="H16" i="1"/>
  <c r="I16" i="1"/>
  <c r="J16" i="1"/>
  <c r="K16" i="1"/>
  <c r="D17" i="1"/>
  <c r="E17" i="1"/>
  <c r="F17" i="1"/>
  <c r="G17" i="1"/>
  <c r="H17" i="1"/>
  <c r="I17" i="1"/>
  <c r="J17" i="1"/>
  <c r="K17" i="1"/>
  <c r="D18" i="1"/>
  <c r="E18" i="1"/>
  <c r="F18" i="1"/>
  <c r="G18" i="1"/>
  <c r="H18" i="1"/>
  <c r="I18" i="1"/>
  <c r="J18" i="1"/>
  <c r="K18" i="1"/>
  <c r="D19" i="1"/>
  <c r="E19" i="1"/>
  <c r="F19" i="1"/>
  <c r="G19" i="1"/>
  <c r="H19" i="1"/>
  <c r="I19" i="1"/>
  <c r="J19" i="1"/>
  <c r="K19" i="1"/>
  <c r="D20" i="1"/>
  <c r="E20" i="1"/>
  <c r="F20" i="1"/>
  <c r="G20" i="1"/>
  <c r="H20" i="1"/>
  <c r="I20" i="1"/>
  <c r="J20" i="1"/>
  <c r="K20" i="1"/>
  <c r="D21" i="1"/>
  <c r="E21" i="1"/>
  <c r="F21" i="1"/>
  <c r="G21" i="1"/>
  <c r="H21" i="1"/>
  <c r="I21" i="1"/>
  <c r="J21" i="1"/>
  <c r="K21" i="1"/>
  <c r="D22" i="1"/>
  <c r="E22" i="1"/>
  <c r="F22" i="1"/>
  <c r="G22" i="1"/>
  <c r="H22" i="1"/>
  <c r="I22" i="1"/>
  <c r="J22" i="1"/>
  <c r="K22" i="1"/>
  <c r="D23" i="1"/>
  <c r="E23" i="1"/>
  <c r="F23" i="1"/>
  <c r="G23" i="1"/>
  <c r="H23" i="1"/>
  <c r="I23" i="1"/>
  <c r="J23" i="1"/>
  <c r="K23" i="1"/>
  <c r="D24" i="1"/>
  <c r="E24" i="1"/>
  <c r="F24" i="1"/>
  <c r="G24" i="1"/>
  <c r="H24" i="1"/>
  <c r="I24" i="1"/>
  <c r="J24" i="1"/>
  <c r="K24" i="1"/>
  <c r="D25" i="1"/>
  <c r="E25" i="1"/>
  <c r="F25" i="1"/>
  <c r="G25" i="1"/>
  <c r="H25" i="1"/>
  <c r="I25" i="1"/>
  <c r="J25" i="1"/>
  <c r="K25" i="1"/>
  <c r="D26" i="1"/>
  <c r="E26" i="1"/>
  <c r="F26" i="1"/>
  <c r="G26" i="1"/>
  <c r="H26" i="1"/>
  <c r="I26" i="1"/>
  <c r="J26" i="1"/>
  <c r="K26" i="1"/>
  <c r="D27" i="1"/>
  <c r="E27" i="1"/>
  <c r="F27" i="1"/>
  <c r="G27" i="1"/>
  <c r="H27" i="1"/>
  <c r="I27" i="1"/>
  <c r="J27" i="1"/>
  <c r="K27" i="1"/>
  <c r="D28" i="1"/>
  <c r="E28" i="1"/>
  <c r="F28" i="1"/>
  <c r="G28" i="1"/>
  <c r="H28" i="1"/>
  <c r="I28" i="1"/>
  <c r="J28" i="1"/>
  <c r="K28" i="1"/>
  <c r="D29" i="1"/>
  <c r="E29" i="1"/>
  <c r="F29" i="1"/>
  <c r="G29" i="1"/>
  <c r="H29" i="1"/>
  <c r="I29" i="1"/>
  <c r="J29" i="1"/>
  <c r="K29" i="1"/>
  <c r="D30" i="1"/>
  <c r="E30" i="1"/>
  <c r="F30" i="1"/>
  <c r="G30" i="1"/>
  <c r="H30" i="1"/>
  <c r="I30" i="1"/>
  <c r="J30" i="1"/>
  <c r="K30" i="1"/>
  <c r="D31" i="1"/>
  <c r="E31" i="1"/>
  <c r="F31" i="1"/>
  <c r="G31" i="1"/>
  <c r="H31" i="1"/>
  <c r="I31" i="1"/>
  <c r="J31" i="1"/>
  <c r="K31" i="1"/>
  <c r="D32" i="1"/>
  <c r="E32" i="1"/>
  <c r="F32" i="1"/>
  <c r="G32" i="1"/>
  <c r="H32" i="1"/>
  <c r="I32" i="1"/>
  <c r="J32" i="1"/>
  <c r="K32" i="1"/>
  <c r="D33" i="1"/>
  <c r="E33" i="1"/>
  <c r="F33" i="1"/>
  <c r="G33" i="1"/>
  <c r="H33" i="1"/>
  <c r="I33" i="1"/>
  <c r="J33" i="1"/>
  <c r="K33" i="1"/>
  <c r="D34" i="1"/>
  <c r="E34" i="1"/>
  <c r="F34" i="1"/>
  <c r="G34" i="1"/>
  <c r="H34" i="1"/>
  <c r="I34" i="1"/>
  <c r="J34" i="1"/>
  <c r="K34" i="1"/>
  <c r="D35" i="1"/>
  <c r="E35" i="1"/>
  <c r="F35" i="1"/>
  <c r="G35" i="1"/>
  <c r="H35" i="1"/>
  <c r="I35" i="1"/>
  <c r="J35" i="1"/>
  <c r="K35" i="1"/>
  <c r="D36" i="1"/>
  <c r="E36" i="1"/>
  <c r="F36" i="1"/>
  <c r="G36" i="1"/>
  <c r="H36" i="1"/>
  <c r="I36" i="1"/>
  <c r="J36" i="1"/>
  <c r="K36" i="1"/>
  <c r="D4" i="1"/>
  <c r="E4" i="1"/>
  <c r="F4" i="1"/>
  <c r="G4" i="1"/>
  <c r="H4" i="1"/>
  <c r="I4" i="1"/>
  <c r="J4" i="1"/>
  <c r="K4" i="1"/>
  <c r="D5" i="1"/>
  <c r="E5" i="1"/>
  <c r="F5" i="1"/>
  <c r="G5" i="1"/>
  <c r="H5" i="1"/>
  <c r="I5" i="1"/>
  <c r="J5" i="1"/>
  <c r="K5" i="1"/>
  <c r="D6" i="1"/>
  <c r="E6" i="1"/>
  <c r="F6" i="1"/>
  <c r="G6" i="1"/>
  <c r="H6" i="1"/>
  <c r="I6" i="1"/>
  <c r="J6" i="1"/>
  <c r="K6" i="1"/>
  <c r="D7" i="1"/>
  <c r="E7" i="1"/>
  <c r="F7" i="1"/>
  <c r="G7" i="1"/>
  <c r="H7" i="1"/>
  <c r="I7" i="1"/>
  <c r="J7" i="1"/>
  <c r="K7" i="1"/>
  <c r="D8" i="1"/>
  <c r="E8" i="1"/>
  <c r="F8" i="1"/>
  <c r="G8" i="1"/>
  <c r="H8" i="1"/>
  <c r="I8" i="1"/>
  <c r="J8" i="1"/>
  <c r="K8" i="1"/>
  <c r="D9" i="1"/>
  <c r="E9" i="1"/>
  <c r="F9" i="1"/>
  <c r="G9" i="1"/>
  <c r="H9" i="1"/>
  <c r="I9" i="1"/>
  <c r="J9" i="1"/>
  <c r="K9" i="1"/>
  <c r="D10" i="1"/>
  <c r="E10" i="1"/>
  <c r="F10" i="1"/>
  <c r="G10" i="1"/>
  <c r="H10" i="1"/>
  <c r="I10" i="1"/>
  <c r="J10" i="1"/>
  <c r="K10" i="1"/>
  <c r="D11" i="1"/>
  <c r="E11" i="1"/>
  <c r="F11" i="1"/>
  <c r="G11" i="1"/>
  <c r="H11" i="1"/>
  <c r="I11" i="1"/>
  <c r="J11" i="1"/>
  <c r="K11" i="1"/>
  <c r="D12" i="1"/>
  <c r="E12" i="1"/>
  <c r="F12" i="1"/>
  <c r="G12" i="1"/>
  <c r="H12" i="1"/>
  <c r="I12" i="1"/>
  <c r="J12" i="1"/>
  <c r="K12" i="1"/>
  <c r="D13" i="1"/>
  <c r="E13" i="1"/>
  <c r="F13" i="1"/>
  <c r="G13" i="1"/>
  <c r="H13" i="1"/>
  <c r="I13" i="1"/>
  <c r="J13" i="1"/>
  <c r="K13" i="1"/>
  <c r="D14" i="1"/>
  <c r="E14" i="1"/>
  <c r="F14" i="1"/>
  <c r="G14" i="1"/>
  <c r="H14" i="1"/>
  <c r="I14" i="1"/>
  <c r="J14" i="1"/>
  <c r="K14" i="1"/>
  <c r="D15" i="1"/>
  <c r="E15" i="1"/>
  <c r="F15" i="1"/>
  <c r="G15" i="1"/>
  <c r="H15" i="1"/>
  <c r="I15" i="1"/>
  <c r="J15" i="1"/>
  <c r="K15" i="1"/>
  <c r="D3" i="1"/>
  <c r="E3" i="1"/>
  <c r="F3" i="1"/>
  <c r="G3" i="1"/>
  <c r="H3" i="1"/>
  <c r="I3" i="1"/>
  <c r="J3" i="1"/>
  <c r="K3" i="1"/>
  <c r="A236" i="1" l="1"/>
  <c r="B227" i="1"/>
  <c r="A248" i="1"/>
  <c r="A241" i="1"/>
  <c r="A234" i="1"/>
  <c r="A253" i="1"/>
  <c r="A251" i="1"/>
  <c r="A232" i="1"/>
  <c r="A235" i="1"/>
  <c r="B247" i="1"/>
  <c r="A247" i="1"/>
  <c r="B240" i="1"/>
  <c r="A245" i="1"/>
  <c r="A231" i="1"/>
  <c r="A252" i="1"/>
  <c r="A238" i="1"/>
  <c r="B231" i="1"/>
  <c r="A233" i="1"/>
  <c r="A250" i="1"/>
  <c r="A243" i="1"/>
  <c r="B238" i="1"/>
  <c r="B250" i="1"/>
  <c r="A229" i="1"/>
  <c r="B252" i="1"/>
  <c r="B236" i="1"/>
  <c r="B246" i="1"/>
  <c r="B230" i="1"/>
  <c r="B243" i="1"/>
  <c r="B253" i="1"/>
  <c r="B237" i="1"/>
  <c r="B234" i="1"/>
  <c r="B244" i="1"/>
  <c r="B241" i="1"/>
  <c r="B251" i="1"/>
  <c r="B235" i="1"/>
  <c r="B248" i="1"/>
  <c r="B232" i="1"/>
  <c r="B245" i="1"/>
  <c r="B229" i="1"/>
  <c r="B211" i="1"/>
  <c r="B209" i="1"/>
  <c r="B207" i="1"/>
  <c r="B201" i="1"/>
  <c r="B195" i="1"/>
  <c r="B183" i="1"/>
  <c r="B181" i="1"/>
  <c r="B179" i="1"/>
  <c r="B177" i="1"/>
  <c r="B175" i="1"/>
  <c r="B169" i="1"/>
  <c r="B163" i="1"/>
  <c r="B161" i="1"/>
  <c r="B159" i="1"/>
  <c r="B157" i="1"/>
  <c r="B153" i="1"/>
  <c r="B151" i="1"/>
  <c r="B149" i="1"/>
  <c r="B147" i="1"/>
  <c r="B145" i="1"/>
  <c r="B143" i="1"/>
  <c r="B137" i="1"/>
  <c r="B131" i="1"/>
  <c r="B129" i="1"/>
  <c r="B127" i="1"/>
  <c r="B125" i="1"/>
  <c r="B123" i="1"/>
  <c r="B121" i="1"/>
  <c r="B119" i="1"/>
  <c r="B117" i="1"/>
  <c r="B115" i="1"/>
  <c r="B113" i="1"/>
  <c r="B111" i="1"/>
  <c r="B99" i="1"/>
  <c r="B97" i="1"/>
  <c r="B95" i="1"/>
  <c r="B93" i="1"/>
  <c r="B91" i="1"/>
  <c r="B89" i="1"/>
  <c r="B87" i="1"/>
  <c r="A34" i="1"/>
  <c r="A18" i="1"/>
  <c r="A222" i="1"/>
  <c r="A212" i="1"/>
  <c r="A204" i="1"/>
  <c r="A196" i="1"/>
  <c r="A186" i="1"/>
  <c r="A174" i="1"/>
  <c r="A166" i="1"/>
  <c r="A154" i="1"/>
  <c r="A152" i="1"/>
  <c r="A150" i="1"/>
  <c r="A148" i="1"/>
  <c r="A138" i="1"/>
  <c r="A136" i="1"/>
  <c r="A134" i="1"/>
  <c r="A132" i="1"/>
  <c r="A126" i="1"/>
  <c r="A124" i="1"/>
  <c r="A122" i="1"/>
  <c r="A120" i="1"/>
  <c r="A118" i="1"/>
  <c r="A116" i="1"/>
  <c r="A110" i="1"/>
  <c r="A108" i="1"/>
  <c r="A106" i="1"/>
  <c r="A104" i="1"/>
  <c r="A102" i="1"/>
  <c r="A100" i="1"/>
  <c r="A94" i="1"/>
  <c r="A92" i="1"/>
  <c r="A90" i="1"/>
  <c r="A88" i="1"/>
  <c r="A86" i="1"/>
  <c r="A84" i="1"/>
  <c r="A82" i="1"/>
  <c r="A78" i="1"/>
  <c r="A76" i="1"/>
  <c r="A74" i="1"/>
  <c r="A72" i="1"/>
  <c r="A70" i="1"/>
  <c r="A68" i="1"/>
  <c r="A228" i="1"/>
  <c r="A218" i="1"/>
  <c r="A206" i="1"/>
  <c r="A198" i="1"/>
  <c r="A188" i="1"/>
  <c r="A180" i="1"/>
  <c r="A170" i="1"/>
  <c r="A160" i="1"/>
  <c r="A144" i="1"/>
  <c r="A224" i="1"/>
  <c r="A216" i="1"/>
  <c r="A208" i="1"/>
  <c r="A200" i="1"/>
  <c r="A190" i="1"/>
  <c r="A184" i="1"/>
  <c r="A176" i="1"/>
  <c r="A168" i="1"/>
  <c r="A158" i="1"/>
  <c r="A142" i="1"/>
  <c r="A254" i="1"/>
  <c r="A220" i="1"/>
  <c r="A214" i="1"/>
  <c r="A202" i="1"/>
  <c r="A192" i="1"/>
  <c r="A182" i="1"/>
  <c r="A172" i="1"/>
  <c r="A164" i="1"/>
  <c r="A156" i="1"/>
  <c r="A140" i="1"/>
  <c r="A256" i="1"/>
  <c r="A12" i="1"/>
  <c r="A4" i="1"/>
  <c r="A33" i="1"/>
  <c r="A27" i="1"/>
  <c r="A23" i="1"/>
  <c r="A19" i="1"/>
  <c r="A64" i="1"/>
  <c r="A60" i="1"/>
  <c r="A56" i="1"/>
  <c r="A52" i="1"/>
  <c r="A46" i="1"/>
  <c r="A44" i="1"/>
  <c r="A42" i="1"/>
  <c r="A40" i="1"/>
  <c r="A38" i="1"/>
  <c r="A3" i="1"/>
  <c r="A10" i="1"/>
  <c r="A6" i="1"/>
  <c r="A35" i="1"/>
  <c r="A31" i="1"/>
  <c r="A25" i="1"/>
  <c r="A21" i="1"/>
  <c r="A17" i="1"/>
  <c r="A62" i="1"/>
  <c r="A58" i="1"/>
  <c r="A54" i="1"/>
  <c r="A48" i="1"/>
  <c r="B199" i="1"/>
  <c r="B167" i="1"/>
  <c r="A145" i="1"/>
  <c r="B141" i="1"/>
  <c r="B139" i="1"/>
  <c r="B135" i="1"/>
  <c r="B133" i="1"/>
  <c r="A129" i="1"/>
  <c r="A127" i="1"/>
  <c r="A113" i="1"/>
  <c r="A111" i="1"/>
  <c r="B109" i="1"/>
  <c r="B107" i="1"/>
  <c r="B103" i="1"/>
  <c r="B101" i="1"/>
  <c r="A97" i="1"/>
  <c r="A95" i="1"/>
  <c r="A93" i="1"/>
  <c r="A79" i="1"/>
  <c r="A77" i="1"/>
  <c r="B75" i="1"/>
  <c r="B71" i="1"/>
  <c r="B69" i="1"/>
  <c r="A14" i="1"/>
  <c r="A8" i="1"/>
  <c r="A29" i="1"/>
  <c r="B205" i="1"/>
  <c r="B203" i="1"/>
  <c r="B197" i="1"/>
  <c r="B173" i="1"/>
  <c r="B171" i="1"/>
  <c r="B165" i="1"/>
  <c r="B85" i="1"/>
  <c r="B81" i="1"/>
  <c r="B79" i="1"/>
  <c r="B67" i="1"/>
  <c r="B221" i="1"/>
  <c r="B219" i="1"/>
  <c r="B217" i="1"/>
  <c r="B215" i="1"/>
  <c r="B213" i="1"/>
  <c r="B187" i="1"/>
  <c r="B185" i="1"/>
  <c r="B155" i="1"/>
  <c r="A5" i="1"/>
  <c r="A16" i="1"/>
  <c r="A51" i="1"/>
  <c r="A257" i="1"/>
  <c r="A211" i="1"/>
  <c r="A36" i="1"/>
  <c r="A22" i="1"/>
  <c r="A61" i="1"/>
  <c r="A49" i="1"/>
  <c r="A255" i="1"/>
  <c r="A219" i="1"/>
  <c r="A7" i="1"/>
  <c r="A24" i="1"/>
  <c r="A57" i="1"/>
  <c r="A41" i="1"/>
  <c r="A112" i="1"/>
  <c r="A96" i="1"/>
  <c r="A80" i="1"/>
  <c r="A15" i="1"/>
  <c r="A30" i="1"/>
  <c r="A63" i="1"/>
  <c r="A39" i="1"/>
  <c r="A128" i="1"/>
  <c r="B77" i="1"/>
  <c r="A81" i="1"/>
  <c r="A161" i="1"/>
  <c r="A32" i="1"/>
  <c r="A65" i="1"/>
  <c r="A45" i="1"/>
  <c r="A225" i="1"/>
  <c r="A223" i="1"/>
  <c r="A221" i="1"/>
  <c r="A209" i="1"/>
  <c r="A207" i="1"/>
  <c r="A205" i="1"/>
  <c r="A203" i="1"/>
  <c r="A201" i="1"/>
  <c r="A199" i="1"/>
  <c r="A197" i="1"/>
  <c r="A195" i="1"/>
  <c r="A193" i="1"/>
  <c r="A191" i="1"/>
  <c r="A189" i="1"/>
  <c r="A187" i="1"/>
  <c r="A185" i="1"/>
  <c r="A183" i="1"/>
  <c r="A181" i="1"/>
  <c r="A179" i="1"/>
  <c r="A177" i="1"/>
  <c r="A175" i="1"/>
  <c r="A173" i="1"/>
  <c r="A171" i="1"/>
  <c r="A169" i="1"/>
  <c r="A167" i="1"/>
  <c r="A165" i="1"/>
  <c r="A163" i="1"/>
  <c r="A159" i="1"/>
  <c r="A157" i="1"/>
  <c r="A155" i="1"/>
  <c r="A153" i="1"/>
  <c r="A151" i="1"/>
  <c r="A149" i="1"/>
  <c r="A147" i="1"/>
  <c r="A143" i="1"/>
  <c r="A141" i="1"/>
  <c r="A139" i="1"/>
  <c r="A137" i="1"/>
  <c r="A135" i="1"/>
  <c r="A133" i="1"/>
  <c r="A131" i="1"/>
  <c r="A125" i="1"/>
  <c r="A123" i="1"/>
  <c r="A121" i="1"/>
  <c r="A119" i="1"/>
  <c r="A117" i="1"/>
  <c r="A115" i="1"/>
  <c r="A109" i="1"/>
  <c r="A107" i="1"/>
  <c r="A105" i="1"/>
  <c r="A103" i="1"/>
  <c r="A101" i="1"/>
  <c r="A99" i="1"/>
  <c r="A91" i="1"/>
  <c r="A89" i="1"/>
  <c r="A87" i="1"/>
  <c r="A85" i="1"/>
  <c r="A83" i="1"/>
  <c r="A75" i="1"/>
  <c r="A73" i="1"/>
  <c r="A71" i="1"/>
  <c r="A69" i="1"/>
  <c r="A67" i="1"/>
  <c r="A11" i="1"/>
  <c r="A26" i="1"/>
  <c r="A55" i="1"/>
  <c r="A43" i="1"/>
  <c r="A227" i="1"/>
  <c r="A215" i="1"/>
  <c r="B257" i="1"/>
  <c r="B225" i="1"/>
  <c r="B193" i="1"/>
  <c r="A258" i="1"/>
  <c r="A226" i="1"/>
  <c r="A210" i="1"/>
  <c r="A194" i="1"/>
  <c r="A178" i="1"/>
  <c r="A162" i="1"/>
  <c r="A146" i="1"/>
  <c r="A130" i="1"/>
  <c r="A114" i="1"/>
  <c r="A98" i="1"/>
  <c r="A9" i="1"/>
  <c r="A20" i="1"/>
  <c r="A59" i="1"/>
  <c r="A47" i="1"/>
  <c r="A213" i="1"/>
  <c r="A66" i="1"/>
  <c r="A50" i="1"/>
  <c r="B255" i="1"/>
  <c r="B223" i="1"/>
  <c r="B191" i="1"/>
  <c r="A13" i="1"/>
  <c r="A28" i="1"/>
  <c r="A53" i="1"/>
  <c r="A37" i="1"/>
  <c r="A217" i="1"/>
  <c r="B189" i="1"/>
  <c r="B194" i="1"/>
  <c r="B48" i="1"/>
  <c r="B24" i="1"/>
  <c r="B16" i="1"/>
  <c r="B26" i="1"/>
  <c r="B18" i="1"/>
  <c r="B154" i="1"/>
  <c r="B146" i="1"/>
  <c r="B138" i="1"/>
  <c r="B130" i="1"/>
  <c r="B114" i="1"/>
  <c r="B98" i="1"/>
  <c r="B90" i="1"/>
  <c r="B82" i="1"/>
  <c r="B74" i="1"/>
  <c r="B8" i="1"/>
  <c r="B12" i="1"/>
  <c r="B64" i="1"/>
  <c r="B4" i="1"/>
  <c r="B11" i="1"/>
  <c r="B25" i="1"/>
  <c r="B17" i="1"/>
  <c r="B6" i="1"/>
  <c r="B14" i="1"/>
  <c r="B10" i="1"/>
  <c r="B57" i="1"/>
  <c r="B122" i="1"/>
  <c r="B21" i="1"/>
  <c r="B106" i="1"/>
  <c r="B29" i="1"/>
  <c r="B43" i="1"/>
  <c r="B162" i="1"/>
  <c r="B35" i="1"/>
  <c r="B33" i="1"/>
  <c r="B27" i="1"/>
  <c r="B19" i="1"/>
  <c r="B218" i="1"/>
  <c r="B23" i="1"/>
  <c r="B202" i="1"/>
  <c r="B178" i="1"/>
  <c r="B258" i="1"/>
  <c r="B62" i="1"/>
  <c r="B186" i="1"/>
  <c r="B34" i="1"/>
  <c r="B22" i="1"/>
  <c r="B56" i="1"/>
  <c r="B7" i="1"/>
  <c r="B30" i="1"/>
  <c r="B20" i="1"/>
  <c r="B54" i="1"/>
  <c r="B170" i="1"/>
  <c r="B226" i="1"/>
  <c r="B46" i="1"/>
  <c r="B32" i="1"/>
  <c r="B40" i="1"/>
  <c r="B210" i="1"/>
  <c r="B15" i="1"/>
  <c r="B13" i="1"/>
  <c r="B65" i="1"/>
  <c r="B38" i="1"/>
  <c r="B256" i="1"/>
  <c r="B224" i="1"/>
  <c r="B216" i="1"/>
  <c r="B208" i="1"/>
  <c r="B200" i="1"/>
  <c r="B192" i="1"/>
  <c r="B184" i="1"/>
  <c r="B176" i="1"/>
  <c r="B168" i="1"/>
  <c r="B160" i="1"/>
  <c r="B152" i="1"/>
  <c r="B144" i="1"/>
  <c r="B136" i="1"/>
  <c r="B128" i="1"/>
  <c r="B120" i="1"/>
  <c r="B112" i="1"/>
  <c r="B104" i="1"/>
  <c r="B96" i="1"/>
  <c r="B88" i="1"/>
  <c r="B80" i="1"/>
  <c r="B72" i="1"/>
  <c r="B254" i="1"/>
  <c r="B222" i="1"/>
  <c r="B206" i="1"/>
  <c r="B198" i="1"/>
  <c r="B190" i="1"/>
  <c r="B182" i="1"/>
  <c r="B174" i="1"/>
  <c r="B166" i="1"/>
  <c r="B158" i="1"/>
  <c r="B150" i="1"/>
  <c r="B142" i="1"/>
  <c r="B134" i="1"/>
  <c r="B126" i="1"/>
  <c r="B118" i="1"/>
  <c r="B110" i="1"/>
  <c r="B102" i="1"/>
  <c r="B94" i="1"/>
  <c r="B86" i="1"/>
  <c r="B78" i="1"/>
  <c r="B70" i="1"/>
  <c r="B214" i="1"/>
  <c r="B228" i="1"/>
  <c r="B220" i="1"/>
  <c r="B212" i="1"/>
  <c r="B204" i="1"/>
  <c r="B196" i="1"/>
  <c r="B188" i="1"/>
  <c r="B180" i="1"/>
  <c r="B172" i="1"/>
  <c r="B164" i="1"/>
  <c r="B156" i="1"/>
  <c r="B148" i="1"/>
  <c r="B140" i="1"/>
  <c r="B132" i="1"/>
  <c r="B124" i="1"/>
  <c r="B116" i="1"/>
  <c r="B108" i="1"/>
  <c r="B100" i="1"/>
  <c r="B92" i="1"/>
  <c r="B84" i="1"/>
  <c r="B76" i="1"/>
  <c r="B68" i="1"/>
  <c r="B51" i="1"/>
  <c r="B49" i="1"/>
  <c r="B41" i="1"/>
  <c r="B59" i="1"/>
  <c r="B60" i="1"/>
  <c r="B52" i="1"/>
  <c r="B44" i="1"/>
  <c r="B63" i="1"/>
  <c r="B55" i="1"/>
  <c r="B47" i="1"/>
  <c r="B39" i="1"/>
  <c r="B66" i="1"/>
  <c r="B58" i="1"/>
  <c r="B50" i="1"/>
  <c r="B42" i="1"/>
  <c r="B61" i="1"/>
  <c r="B53" i="1"/>
  <c r="B45" i="1"/>
  <c r="B37" i="1"/>
  <c r="B31" i="1"/>
  <c r="B36" i="1"/>
  <c r="B28" i="1"/>
  <c r="B9" i="1"/>
  <c r="B5" i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<sst xmlns="http://schemas.openxmlformats.org/spreadsheetml/2006/main" count="289" uniqueCount="96">
  <si>
    <t>D0</t>
  </si>
  <si>
    <t>D1</t>
  </si>
  <si>
    <t>D2</t>
  </si>
  <si>
    <t>D3</t>
  </si>
  <si>
    <t>D4</t>
  </si>
  <si>
    <t>D5</t>
  </si>
  <si>
    <t>D6</t>
  </si>
  <si>
    <t>D7</t>
  </si>
  <si>
    <t>Binary</t>
  </si>
  <si>
    <t>Value Sent</t>
  </si>
  <si>
    <t>Bit Map</t>
  </si>
  <si>
    <t>System Behavior</t>
  </si>
  <si>
    <t>Hex</t>
  </si>
  <si>
    <t>Dec</t>
  </si>
  <si>
    <t>Process…</t>
  </si>
  <si>
    <t>&gt; Boot system w/ nRESET tied to VCC</t>
  </si>
  <si>
    <t>&gt; All inputs (SERIAL, SEL, -RD, -WR) are similarly tied to VCC</t>
  </si>
  <si>
    <t>&gt; Clock in data by first pressing SEL, followed by -WR</t>
  </si>
  <si>
    <t>&gt; Hold SERIAL low for a few seconds so characters are pushed onto the screen</t>
  </si>
  <si>
    <t>X</t>
  </si>
  <si>
    <t>A0</t>
  </si>
  <si>
    <t>&gt; Later learned A0 is a key input here!!!</t>
  </si>
  <si>
    <t>Character</t>
  </si>
  <si>
    <t>Cursor Backspace (not delete, just back one)</t>
  </si>
  <si>
    <t>Clear Display</t>
  </si>
  <si>
    <t>Jump to element 0</t>
  </si>
  <si>
    <t>Turn Cursor off</t>
  </si>
  <si>
    <t>Turn Cursor on</t>
  </si>
  <si>
    <t>-</t>
  </si>
  <si>
    <t>NULL</t>
  </si>
  <si>
    <t>"</t>
  </si>
  <si>
    <t>≡</t>
  </si>
  <si>
    <t>𝛻</t>
  </si>
  <si>
    <t>$</t>
  </si>
  <si>
    <t>Found Character</t>
  </si>
  <si>
    <t>Found Character. Unclear what it is though.</t>
  </si>
  <si>
    <t>UNKNOWN</t>
  </si>
  <si>
    <t>'</t>
  </si>
  <si>
    <t>⚟</t>
  </si>
  <si>
    <t>⪫</t>
  </si>
  <si>
    <t>*</t>
  </si>
  <si>
    <t>+</t>
  </si>
  <si>
    <t>,</t>
  </si>
  <si>
    <t>.</t>
  </si>
  <si>
    <t>/</t>
  </si>
  <si>
    <t>Found Number</t>
  </si>
  <si>
    <t>=</t>
  </si>
  <si>
    <t>&lt;</t>
  </si>
  <si>
    <t>Found Character (bottom two)</t>
  </si>
  <si>
    <t>Found Character (top two)</t>
  </si>
  <si>
    <t>&gt;</t>
  </si>
  <si>
    <t>?</t>
  </si>
  <si>
    <t>@</t>
  </si>
  <si>
    <t>A</t>
  </si>
  <si>
    <t>Found Letter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</si>
  <si>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</si>
  <si>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</si>
  <si>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</si>
  <si>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</si>
  <si>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</si>
  <si>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</si>
  <si>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</si>
  <si>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</si>
  <si>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</si>
  <si>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</si>
  <si>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</si>
  <si>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</si>
  <si>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</si>
  <si>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</si>
  <si>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</si>
  <si>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</si>
  <si>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</si>
  <si>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</si>
  <si>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</si>
  <si>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</si>
  <si>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</si>
  <si>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</si>
  <si>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</si>
  <si>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</si>
  <si>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c</t>
  </si>
  <si>
    <t>Found Letter. Lower Case.</t>
  </si>
  <si>
    <t>\</t>
  </si>
  <si>
    <t>ﬤ</t>
  </si>
  <si>
    <t>^</t>
  </si>
  <si>
    <t>_</t>
  </si>
  <si>
    <t>`</t>
  </si>
  <si>
    <t>Found Letter. Repeat?</t>
  </si>
  <si>
    <t>∑</t>
  </si>
  <si>
    <t>Ӡ</t>
  </si>
  <si>
    <t>v</t>
  </si>
  <si>
    <t>Found Character. All segments on (except ,.)</t>
  </si>
  <si>
    <t>.,</t>
  </si>
  <si>
    <t>\.,</t>
  </si>
  <si>
    <t>^.,</t>
  </si>
  <si>
    <t>=.,</t>
  </si>
  <si>
    <t>_.,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</si>
</sst>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/>
    <xf numFmtId="0" fontId="1" fillId="0" borderId="10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3" xfId="0" applyFont="1" applyFill="1" applyBorder="1"/>
    <xf numFmtId="0" fontId="0" fillId="0" borderId="14" xfId="0" applyBorder="1" applyAlignment="1">
      <alignment horizontal="center"/>
    </xf>
    <xf numFmtId="0" fontId="0" fillId="0" borderId="13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17"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32A8B-54EE-4063-9280-BD47E2D1594A}" name="Table2" displayName="Table2" ref="A2:N258" totalsRowShown="0" headerRowDxfId="16" headerRowBorderDxfId="15" tableBorderDxfId="14">
  <autoFilter ref="A2:N258" xr:uid="{58732A8B-54EE-4063-9280-BD47E2D1594A}"/>
  <tableColumns count="14">
    <tableColumn id="1" xr3:uid="{C742CC0A-AC0A-4E07-8EFE-622932530656}" name="Binary" dataDxfId="13">
      <calculatedColumnFormula>_xlfn.CONCAT("0b",D3:G3, " ", Table2[[#This Row],[D3]:[D0]])</calculatedColumnFormula>
    </tableColumn>
    <tableColumn id="2" xr3:uid="{3664499F-DB31-4FDE-98DC-5C8E6685706E}" name="Hex" dataDxfId="12">
      <calculatedColumnFormula>_xlfn.CONCAT("0x",BIN2HEX(_xlfn.CONCAT(D3:K3), 2))</calculatedColumnFormula>
    </tableColumn>
    <tableColumn id="3" xr3:uid="{A9B3F974-A9F7-4964-A1D6-634EE6ECD789}" name="Dec" dataDxfId="11"/>
    <tableColumn id="4" xr3:uid="{F1372D06-FD54-42D8-975C-33E85D5193DD}" name="D7" dataDxfId="10">
      <calculatedColumnFormula>MOD(_xlfn.BITRSHIFT($C3,7),2)</calculatedColumnFormula>
    </tableColumn>
    <tableColumn id="5" xr3:uid="{12198AEE-FBC8-4DC6-9E0E-CAB253BD0EFE}" name="D6" dataDxfId="9">
      <calculatedColumnFormula>MOD(_xlfn.BITRSHIFT($C3,6),2)</calculatedColumnFormula>
    </tableColumn>
    <tableColumn id="6" xr3:uid="{17447B3C-7D30-4504-BA95-538BECA96064}" name="D5" dataDxfId="8">
      <calculatedColumnFormula>MOD(_xlfn.BITRSHIFT($C3,5),2)</calculatedColumnFormula>
    </tableColumn>
    <tableColumn id="7" xr3:uid="{09CDC1CD-8010-45A9-B67E-3FD3A075F1EB}" name="D4" dataDxfId="7">
      <calculatedColumnFormula>MOD(_xlfn.BITRSHIFT($C3,4),2)</calculatedColumnFormula>
    </tableColumn>
    <tableColumn id="8" xr3:uid="{72C35C4D-496D-4E90-BC70-754ECA35AAEA}" name="D3" dataDxfId="6">
      <calculatedColumnFormula>MOD(_xlfn.BITRSHIFT($C3,3),2)</calculatedColumnFormula>
    </tableColumn>
    <tableColumn id="9" xr3:uid="{0EBE46C2-CF43-41B8-911F-B50390953A80}" name="D2" dataDxfId="5">
      <calculatedColumnFormula>MOD(_xlfn.BITRSHIFT($C3,2),2)</calculatedColumnFormula>
    </tableColumn>
    <tableColumn id="10" xr3:uid="{37A51FB5-8671-49AA-9F76-947B18B23441}" name="D1" dataDxfId="4">
      <calculatedColumnFormula>MOD(_xlfn.BITRSHIFT($C3,1),2)</calculatedColumnFormula>
    </tableColumn>
    <tableColumn id="11" xr3:uid="{CE93B301-78B5-425B-A6DC-F80A78490BE8}" name="D0" dataDxfId="3">
      <calculatedColumnFormula>MOD(_xlfn.BITRSHIFT($C3,0),2)</calculatedColumnFormula>
    </tableColumn>
    <tableColumn id="13" xr3:uid="{67AFD633-A72B-4781-A667-D413B5835E8A}" name="A0" dataDxfId="2"/>
    <tableColumn id="16" xr3:uid="{E6A211B8-DDC2-4E6D-BFA9-0B6B9FACA73A}" name="Character" dataDxfId="1"/>
    <tableColumn id="12" xr3:uid="{A72C5F7E-EC9A-41AF-A3A9-48DEAB9E83BF}" name="System Behavio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BBED-CBE6-4CB5-9123-09EA7C777488}">
  <dimension ref="A1:U502"/>
  <sheetViews>
    <sheetView tabSelected="1" topLeftCell="A10" workbookViewId="0">
      <selection activeCell="M99" sqref="M99"/>
    </sheetView>
  </sheetViews>
  <sheetFormatPr defaultRowHeight="14.4" x14ac:dyDescent="0.3"/>
  <cols>
    <col min="1" max="1" width="13.5546875" style="1" customWidth="1"/>
    <col min="2" max="3" width="7.88671875" style="1" customWidth="1"/>
    <col min="4" max="11" width="5.44140625" style="1" bestFit="1" customWidth="1"/>
    <col min="12" max="12" width="7.44140625" style="1" customWidth="1"/>
    <col min="13" max="13" width="13.77734375" style="17" customWidth="1"/>
    <col min="14" max="14" width="43.21875" customWidth="1"/>
    <col min="15" max="15" width="7.44140625" style="1" customWidth="1"/>
    <col min="16" max="16" width="13.77734375" style="17" customWidth="1"/>
    <col min="17" max="17" width="43.21875" customWidth="1"/>
  </cols>
  <sheetData>
    <row r="1" spans="1:21" ht="15" thickBot="1" x14ac:dyDescent="0.35">
      <c r="A1" s="23" t="s">
        <v>9</v>
      </c>
      <c r="B1" s="24"/>
      <c r="C1" s="25"/>
      <c r="D1" s="23" t="s">
        <v>10</v>
      </c>
      <c r="E1" s="24"/>
      <c r="F1" s="24"/>
      <c r="G1" s="24"/>
      <c r="H1" s="24"/>
      <c r="I1" s="24"/>
      <c r="J1" s="24"/>
      <c r="K1" s="25"/>
      <c r="L1" s="11"/>
      <c r="M1" s="14"/>
      <c r="N1" s="2"/>
      <c r="O1" s="11"/>
      <c r="P1" s="14"/>
      <c r="Q1" s="2"/>
    </row>
    <row r="2" spans="1:21" ht="15" thickBot="1" x14ac:dyDescent="0.35">
      <c r="A2" s="4" t="s">
        <v>8</v>
      </c>
      <c r="B2" s="4" t="s">
        <v>12</v>
      </c>
      <c r="C2" s="5" t="s">
        <v>13</v>
      </c>
      <c r="D2" s="3" t="s">
        <v>7</v>
      </c>
      <c r="E2" s="4" t="s">
        <v>6</v>
      </c>
      <c r="F2" s="4" t="s">
        <v>5</v>
      </c>
      <c r="G2" s="4" t="s">
        <v>4</v>
      </c>
      <c r="H2" s="4" t="s">
        <v>3</v>
      </c>
      <c r="I2" s="4" t="s">
        <v>2</v>
      </c>
      <c r="J2" s="4" t="s">
        <v>1</v>
      </c>
      <c r="K2" s="5" t="s">
        <v>0</v>
      </c>
      <c r="L2" s="4" t="s">
        <v>20</v>
      </c>
      <c r="M2" s="15" t="s">
        <v>22</v>
      </c>
      <c r="N2" s="13" t="s">
        <v>11</v>
      </c>
      <c r="O2" s="19" t="s">
        <v>20</v>
      </c>
      <c r="P2" s="19" t="s">
        <v>22</v>
      </c>
      <c r="Q2" s="20" t="s">
        <v>11</v>
      </c>
    </row>
    <row r="3" spans="1:21" x14ac:dyDescent="0.3">
      <c r="A3" s="7" t="str">
        <f>_xlfn.CONCAT("0b",D3:G3, " ", Table2[[#This Row],[D3]:[D0]])</f>
        <v>0b0000 0000</v>
      </c>
      <c r="B3" s="7" t="str">
        <f>_xlfn.CONCAT("0x",BIN2HEX(_xlfn.CONCAT(D3:K3), 2))</f>
        <v>0x00</v>
      </c>
      <c r="C3" s="8">
        <v>0</v>
      </c>
      <c r="D3" s="6">
        <f t="shared" ref="D3:D66" si="0">MOD(_xlfn.BITRSHIFT($C3,7),2)</f>
        <v>0</v>
      </c>
      <c r="E3" s="7">
        <f t="shared" ref="E3:E66" si="1">MOD(_xlfn.BITRSHIFT($C3,6),2)</f>
        <v>0</v>
      </c>
      <c r="F3" s="7">
        <f t="shared" ref="F3:F66" si="2">MOD(_xlfn.BITRSHIFT($C3,5),2)</f>
        <v>0</v>
      </c>
      <c r="G3" s="7">
        <f t="shared" ref="G3:G66" si="3">MOD(_xlfn.BITRSHIFT($C3,4),2)</f>
        <v>0</v>
      </c>
      <c r="H3" s="7">
        <f t="shared" ref="H3:H66" si="4">MOD(_xlfn.BITRSHIFT($C3,3),2)</f>
        <v>0</v>
      </c>
      <c r="I3" s="7">
        <f t="shared" ref="I3:I66" si="5">MOD(_xlfn.BITRSHIFT($C3,2),2)</f>
        <v>0</v>
      </c>
      <c r="J3" s="7">
        <f t="shared" ref="J3:J66" si="6">MOD(_xlfn.BITRSHIFT($C3,1),2)</f>
        <v>0</v>
      </c>
      <c r="K3" s="8">
        <f t="shared" ref="K3:K66" si="7">MOD(_xlfn.BITRSHIFT($C3,0),2)</f>
        <v>0</v>
      </c>
      <c r="L3" s="7">
        <v>0</v>
      </c>
      <c r="M3" s="16"/>
      <c r="N3" s="12" t="s">
        <v>28</v>
      </c>
      <c r="O3" s="7">
        <v>1</v>
      </c>
      <c r="P3" s="16"/>
      <c r="Q3" s="12"/>
    </row>
    <row r="4" spans="1:21" x14ac:dyDescent="0.3">
      <c r="A4" s="1" t="str">
        <f>_xlfn.CONCAT("0b",D4:G4, " ", Table2[[#This Row],[D3]:[D0]])</f>
        <v>0b0000 0001</v>
      </c>
      <c r="B4" s="1" t="str">
        <f>_xlfn.CONCAT("0x",BIN2HEX(_xlfn.CONCAT(D4:K4), 2))</f>
        <v>0x01</v>
      </c>
      <c r="C4" s="10">
        <v>1</v>
      </c>
      <c r="D4" s="9">
        <f t="shared" si="0"/>
        <v>0</v>
      </c>
      <c r="E4" s="1">
        <f t="shared" si="1"/>
        <v>0</v>
      </c>
      <c r="F4" s="1">
        <f t="shared" si="2"/>
        <v>0</v>
      </c>
      <c r="G4" s="1">
        <f t="shared" si="3"/>
        <v>0</v>
      </c>
      <c r="H4" s="1">
        <f t="shared" si="4"/>
        <v>0</v>
      </c>
      <c r="I4" s="1">
        <f t="shared" si="5"/>
        <v>0</v>
      </c>
      <c r="J4" s="1">
        <f t="shared" si="6"/>
        <v>0</v>
      </c>
      <c r="K4" s="10">
        <f t="shared" si="7"/>
        <v>1</v>
      </c>
      <c r="L4" s="1">
        <v>0</v>
      </c>
      <c r="N4" t="s">
        <v>28</v>
      </c>
      <c r="O4" s="1">
        <v>1</v>
      </c>
      <c r="U4" s="2" t="s">
        <v>14</v>
      </c>
    </row>
    <row r="5" spans="1:21" x14ac:dyDescent="0.3">
      <c r="A5" s="1" t="str">
        <f>_xlfn.CONCAT("0b",D5:G5, " ", Table2[[#This Row],[D3]:[D0]])</f>
        <v>0b0000 0010</v>
      </c>
      <c r="B5" s="1" t="str">
        <f>_xlfn.CONCAT("0x",BIN2HEX(_xlfn.CONCAT(D5:K5), 2))</f>
        <v>0x02</v>
      </c>
      <c r="C5" s="10">
        <v>2</v>
      </c>
      <c r="D5" s="9">
        <f t="shared" si="0"/>
        <v>0</v>
      </c>
      <c r="E5" s="1">
        <f t="shared" si="1"/>
        <v>0</v>
      </c>
      <c r="F5" s="1">
        <f t="shared" si="2"/>
        <v>0</v>
      </c>
      <c r="G5" s="1">
        <f t="shared" si="3"/>
        <v>0</v>
      </c>
      <c r="H5" s="1">
        <f t="shared" si="4"/>
        <v>0</v>
      </c>
      <c r="I5" s="1">
        <f t="shared" si="5"/>
        <v>0</v>
      </c>
      <c r="J5" s="1">
        <f t="shared" si="6"/>
        <v>1</v>
      </c>
      <c r="K5" s="10">
        <f t="shared" si="7"/>
        <v>0</v>
      </c>
      <c r="L5" s="1">
        <v>0</v>
      </c>
      <c r="N5" t="s">
        <v>28</v>
      </c>
      <c r="O5" s="1">
        <v>1</v>
      </c>
      <c r="U5" t="s">
        <v>15</v>
      </c>
    </row>
    <row r="6" spans="1:21" x14ac:dyDescent="0.3">
      <c r="A6" s="1" t="str">
        <f>_xlfn.CONCAT("0b",D6:G6, " ", Table2[[#This Row],[D3]:[D0]])</f>
        <v>0b0000 0011</v>
      </c>
      <c r="B6" s="1" t="str">
        <f t="shared" ref="B6:B26" si="8">_xlfn.CONCAT("0x",BIN2HEX(_xlfn.CONCAT(D6:K6), 2))</f>
        <v>0x03</v>
      </c>
      <c r="C6" s="10">
        <v>3</v>
      </c>
      <c r="D6" s="9">
        <f t="shared" si="0"/>
        <v>0</v>
      </c>
      <c r="E6" s="1">
        <f t="shared" si="1"/>
        <v>0</v>
      </c>
      <c r="F6" s="1">
        <f t="shared" si="2"/>
        <v>0</v>
      </c>
      <c r="G6" s="1">
        <f t="shared" si="3"/>
        <v>0</v>
      </c>
      <c r="H6" s="1">
        <f t="shared" si="4"/>
        <v>0</v>
      </c>
      <c r="I6" s="1">
        <f t="shared" si="5"/>
        <v>0</v>
      </c>
      <c r="J6" s="1">
        <f t="shared" si="6"/>
        <v>1</v>
      </c>
      <c r="K6" s="10">
        <f t="shared" si="7"/>
        <v>1</v>
      </c>
      <c r="L6" s="1">
        <v>0</v>
      </c>
      <c r="N6" t="s">
        <v>28</v>
      </c>
      <c r="O6" s="1">
        <v>1</v>
      </c>
      <c r="U6" t="s">
        <v>16</v>
      </c>
    </row>
    <row r="7" spans="1:21" x14ac:dyDescent="0.3">
      <c r="A7" s="1" t="str">
        <f>_xlfn.CONCAT("0b",D7:G7, " ", Table2[[#This Row],[D3]:[D0]])</f>
        <v>0b0000 0100</v>
      </c>
      <c r="B7" s="1" t="str">
        <f t="shared" si="8"/>
        <v>0x04</v>
      </c>
      <c r="C7" s="10">
        <v>4</v>
      </c>
      <c r="D7" s="9">
        <f t="shared" si="0"/>
        <v>0</v>
      </c>
      <c r="E7" s="1">
        <f t="shared" si="1"/>
        <v>0</v>
      </c>
      <c r="F7" s="1">
        <f t="shared" si="2"/>
        <v>0</v>
      </c>
      <c r="G7" s="1">
        <f t="shared" si="3"/>
        <v>0</v>
      </c>
      <c r="H7" s="1">
        <f t="shared" si="4"/>
        <v>0</v>
      </c>
      <c r="I7" s="1">
        <f t="shared" si="5"/>
        <v>1</v>
      </c>
      <c r="J7" s="1">
        <f t="shared" si="6"/>
        <v>0</v>
      </c>
      <c r="K7" s="10">
        <f t="shared" si="7"/>
        <v>0</v>
      </c>
      <c r="L7" s="1">
        <v>0</v>
      </c>
      <c r="N7" t="s">
        <v>28</v>
      </c>
      <c r="O7" s="1">
        <v>1</v>
      </c>
      <c r="U7" t="s">
        <v>18</v>
      </c>
    </row>
    <row r="8" spans="1:21" x14ac:dyDescent="0.3">
      <c r="A8" s="1" t="str">
        <f>_xlfn.CONCAT("0b",D8:G8, " ", Table2[[#This Row],[D3]:[D0]])</f>
        <v>0b0000 0101</v>
      </c>
      <c r="B8" s="1" t="str">
        <f t="shared" si="8"/>
        <v>0x05</v>
      </c>
      <c r="C8" s="10">
        <v>5</v>
      </c>
      <c r="D8" s="9">
        <f t="shared" si="0"/>
        <v>0</v>
      </c>
      <c r="E8" s="1">
        <f t="shared" si="1"/>
        <v>0</v>
      </c>
      <c r="F8" s="1">
        <f t="shared" si="2"/>
        <v>0</v>
      </c>
      <c r="G8" s="1">
        <f t="shared" si="3"/>
        <v>0</v>
      </c>
      <c r="H8" s="1">
        <f t="shared" si="4"/>
        <v>0</v>
      </c>
      <c r="I8" s="1">
        <f t="shared" si="5"/>
        <v>1</v>
      </c>
      <c r="J8" s="1">
        <f t="shared" si="6"/>
        <v>0</v>
      </c>
      <c r="K8" s="10">
        <f t="shared" si="7"/>
        <v>1</v>
      </c>
      <c r="L8" s="1">
        <v>0</v>
      </c>
      <c r="N8" t="s">
        <v>28</v>
      </c>
      <c r="O8" s="1">
        <v>1</v>
      </c>
      <c r="U8" t="s">
        <v>17</v>
      </c>
    </row>
    <row r="9" spans="1:21" x14ac:dyDescent="0.3">
      <c r="A9" s="1" t="str">
        <f>_xlfn.CONCAT("0b",D9:G9, " ", Table2[[#This Row],[D3]:[D0]])</f>
        <v>0b0000 0110</v>
      </c>
      <c r="B9" s="1" t="str">
        <f t="shared" si="8"/>
        <v>0x06</v>
      </c>
      <c r="C9" s="10">
        <v>6</v>
      </c>
      <c r="D9" s="9">
        <f t="shared" si="0"/>
        <v>0</v>
      </c>
      <c r="E9" s="1">
        <f t="shared" si="1"/>
        <v>0</v>
      </c>
      <c r="F9" s="1">
        <f t="shared" si="2"/>
        <v>0</v>
      </c>
      <c r="G9" s="1">
        <f t="shared" si="3"/>
        <v>0</v>
      </c>
      <c r="H9" s="1">
        <f t="shared" si="4"/>
        <v>0</v>
      </c>
      <c r="I9" s="1">
        <f t="shared" si="5"/>
        <v>1</v>
      </c>
      <c r="J9" s="1">
        <f t="shared" si="6"/>
        <v>1</v>
      </c>
      <c r="K9" s="10">
        <f t="shared" si="7"/>
        <v>0</v>
      </c>
      <c r="L9" s="1">
        <v>0</v>
      </c>
      <c r="N9" t="s">
        <v>28</v>
      </c>
      <c r="O9" s="1">
        <v>1</v>
      </c>
      <c r="U9" t="s">
        <v>21</v>
      </c>
    </row>
    <row r="10" spans="1:21" x14ac:dyDescent="0.3">
      <c r="A10" s="1" t="str">
        <f>_xlfn.CONCAT("0b",D10:G10, " ", Table2[[#This Row],[D3]:[D0]])</f>
        <v>0b0000 0111</v>
      </c>
      <c r="B10" s="1" t="str">
        <f t="shared" si="8"/>
        <v>0x07</v>
      </c>
      <c r="C10" s="10">
        <v>7</v>
      </c>
      <c r="D10" s="9">
        <f t="shared" si="0"/>
        <v>0</v>
      </c>
      <c r="E10" s="1">
        <f t="shared" si="1"/>
        <v>0</v>
      </c>
      <c r="F10" s="1">
        <f t="shared" si="2"/>
        <v>0</v>
      </c>
      <c r="G10" s="1">
        <f t="shared" si="3"/>
        <v>0</v>
      </c>
      <c r="H10" s="1">
        <f t="shared" si="4"/>
        <v>0</v>
      </c>
      <c r="I10" s="1">
        <f t="shared" si="5"/>
        <v>1</v>
      </c>
      <c r="J10" s="1">
        <f t="shared" si="6"/>
        <v>1</v>
      </c>
      <c r="K10" s="10">
        <f t="shared" si="7"/>
        <v>1</v>
      </c>
      <c r="L10" s="1">
        <v>0</v>
      </c>
      <c r="N10" t="s">
        <v>28</v>
      </c>
      <c r="O10" s="1">
        <v>1</v>
      </c>
    </row>
    <row r="11" spans="1:21" x14ac:dyDescent="0.3">
      <c r="A11" s="1" t="str">
        <f>_xlfn.CONCAT("0b",D11:G11, " ", Table2[[#This Row],[D3]:[D0]])</f>
        <v>0b0000 1000</v>
      </c>
      <c r="B11" s="1" t="str">
        <f t="shared" si="8"/>
        <v>0x08</v>
      </c>
      <c r="C11" s="10">
        <v>8</v>
      </c>
      <c r="D11" s="9">
        <f t="shared" si="0"/>
        <v>0</v>
      </c>
      <c r="E11" s="1">
        <f t="shared" si="1"/>
        <v>0</v>
      </c>
      <c r="F11" s="1">
        <f t="shared" si="2"/>
        <v>0</v>
      </c>
      <c r="G11" s="1">
        <f t="shared" si="3"/>
        <v>0</v>
      </c>
      <c r="H11" s="1">
        <f t="shared" si="4"/>
        <v>1</v>
      </c>
      <c r="I11" s="1">
        <f t="shared" si="5"/>
        <v>0</v>
      </c>
      <c r="J11" s="1">
        <f t="shared" si="6"/>
        <v>0</v>
      </c>
      <c r="K11" s="10">
        <f t="shared" si="7"/>
        <v>0</v>
      </c>
      <c r="L11" s="1">
        <v>0</v>
      </c>
      <c r="N11" t="s">
        <v>23</v>
      </c>
      <c r="O11" s="1">
        <v>1</v>
      </c>
    </row>
    <row r="12" spans="1:21" x14ac:dyDescent="0.3">
      <c r="A12" s="1" t="str">
        <f>_xlfn.CONCAT("0b",D12:G12, " ", Table2[[#This Row],[D3]:[D0]])</f>
        <v>0b0000 1001</v>
      </c>
      <c r="B12" s="1" t="str">
        <f t="shared" si="8"/>
        <v>0x09</v>
      </c>
      <c r="C12" s="10">
        <v>9</v>
      </c>
      <c r="D12" s="9">
        <f t="shared" si="0"/>
        <v>0</v>
      </c>
      <c r="E12" s="1">
        <f t="shared" si="1"/>
        <v>0</v>
      </c>
      <c r="F12" s="1">
        <f t="shared" si="2"/>
        <v>0</v>
      </c>
      <c r="G12" s="1">
        <f t="shared" si="3"/>
        <v>0</v>
      </c>
      <c r="H12" s="1">
        <f t="shared" si="4"/>
        <v>1</v>
      </c>
      <c r="I12" s="1">
        <f t="shared" si="5"/>
        <v>0</v>
      </c>
      <c r="J12" s="1">
        <f t="shared" si="6"/>
        <v>0</v>
      </c>
      <c r="K12" s="10">
        <f t="shared" si="7"/>
        <v>1</v>
      </c>
      <c r="L12" s="1">
        <v>0</v>
      </c>
      <c r="N12" t="s">
        <v>28</v>
      </c>
      <c r="O12" s="1">
        <v>1</v>
      </c>
    </row>
    <row r="13" spans="1:21" x14ac:dyDescent="0.3">
      <c r="A13" s="1" t="str">
        <f>_xlfn.CONCAT("0b",D13:G13, " ", Table2[[#This Row],[D3]:[D0]])</f>
        <v>0b0000 1010</v>
      </c>
      <c r="B13" s="1" t="str">
        <f t="shared" si="8"/>
        <v>0x0A</v>
      </c>
      <c r="C13" s="10">
        <v>10</v>
      </c>
      <c r="D13" s="9">
        <f t="shared" si="0"/>
        <v>0</v>
      </c>
      <c r="E13" s="1">
        <f t="shared" si="1"/>
        <v>0</v>
      </c>
      <c r="F13" s="1">
        <f t="shared" si="2"/>
        <v>0</v>
      </c>
      <c r="G13" s="1">
        <f t="shared" si="3"/>
        <v>0</v>
      </c>
      <c r="H13" s="1">
        <f t="shared" si="4"/>
        <v>1</v>
      </c>
      <c r="I13" s="1">
        <f t="shared" si="5"/>
        <v>0</v>
      </c>
      <c r="J13" s="1">
        <f t="shared" si="6"/>
        <v>1</v>
      </c>
      <c r="K13" s="10">
        <f t="shared" si="7"/>
        <v>0</v>
      </c>
      <c r="L13" s="1">
        <v>0</v>
      </c>
      <c r="N13" t="s">
        <v>24</v>
      </c>
      <c r="O13" s="1">
        <v>1</v>
      </c>
    </row>
    <row r="14" spans="1:21" x14ac:dyDescent="0.3">
      <c r="A14" s="1" t="str">
        <f>_xlfn.CONCAT("0b",D14:G14, " ", Table2[[#This Row],[D3]:[D0]])</f>
        <v>0b0000 1011</v>
      </c>
      <c r="B14" s="1" t="str">
        <f t="shared" si="8"/>
        <v>0x0B</v>
      </c>
      <c r="C14" s="10">
        <v>11</v>
      </c>
      <c r="D14" s="9">
        <f t="shared" si="0"/>
        <v>0</v>
      </c>
      <c r="E14" s="1">
        <f t="shared" si="1"/>
        <v>0</v>
      </c>
      <c r="F14" s="1">
        <f t="shared" si="2"/>
        <v>0</v>
      </c>
      <c r="G14" s="1">
        <f t="shared" si="3"/>
        <v>0</v>
      </c>
      <c r="H14" s="1">
        <f t="shared" si="4"/>
        <v>1</v>
      </c>
      <c r="I14" s="1">
        <f t="shared" si="5"/>
        <v>0</v>
      </c>
      <c r="J14" s="1">
        <f t="shared" si="6"/>
        <v>1</v>
      </c>
      <c r="K14" s="10">
        <f t="shared" si="7"/>
        <v>1</v>
      </c>
      <c r="L14" s="1">
        <v>0</v>
      </c>
      <c r="N14" t="s">
        <v>28</v>
      </c>
      <c r="O14" s="1">
        <v>1</v>
      </c>
    </row>
    <row r="15" spans="1:21" x14ac:dyDescent="0.3">
      <c r="A15" s="1" t="str">
        <f>_xlfn.CONCAT("0b",D15:G15, " ", Table2[[#This Row],[D3]:[D0]])</f>
        <v>0b0000 1100</v>
      </c>
      <c r="B15" s="1" t="str">
        <f t="shared" si="8"/>
        <v>0x0C</v>
      </c>
      <c r="C15" s="10">
        <v>12</v>
      </c>
      <c r="D15" s="9">
        <f t="shared" si="0"/>
        <v>0</v>
      </c>
      <c r="E15" s="1">
        <f t="shared" si="1"/>
        <v>0</v>
      </c>
      <c r="F15" s="1">
        <f t="shared" si="2"/>
        <v>0</v>
      </c>
      <c r="G15" s="1">
        <f t="shared" si="3"/>
        <v>0</v>
      </c>
      <c r="H15" s="1">
        <f t="shared" si="4"/>
        <v>1</v>
      </c>
      <c r="I15" s="1">
        <f t="shared" si="5"/>
        <v>1</v>
      </c>
      <c r="J15" s="1">
        <f t="shared" si="6"/>
        <v>0</v>
      </c>
      <c r="K15" s="10">
        <f t="shared" si="7"/>
        <v>0</v>
      </c>
      <c r="L15" s="1">
        <v>0</v>
      </c>
      <c r="N15" t="s">
        <v>28</v>
      </c>
      <c r="O15" s="1">
        <v>1</v>
      </c>
    </row>
    <row r="16" spans="1:21" x14ac:dyDescent="0.3">
      <c r="A16" s="1" t="str">
        <f>_xlfn.CONCAT("0b",D16:G16, " ", Table2[[#This Row],[D3]:[D0]])</f>
        <v>0b0000 1101</v>
      </c>
      <c r="B16" s="1" t="str">
        <f t="shared" si="8"/>
        <v>0x0D</v>
      </c>
      <c r="C16" s="10">
        <v>13</v>
      </c>
      <c r="D16" s="9">
        <f t="shared" si="0"/>
        <v>0</v>
      </c>
      <c r="E16" s="1">
        <f t="shared" si="1"/>
        <v>0</v>
      </c>
      <c r="F16" s="1">
        <f t="shared" si="2"/>
        <v>0</v>
      </c>
      <c r="G16" s="1">
        <f t="shared" si="3"/>
        <v>0</v>
      </c>
      <c r="H16" s="1">
        <f t="shared" si="4"/>
        <v>1</v>
      </c>
      <c r="I16" s="1">
        <f t="shared" si="5"/>
        <v>1</v>
      </c>
      <c r="J16" s="1">
        <f t="shared" si="6"/>
        <v>0</v>
      </c>
      <c r="K16" s="10">
        <f t="shared" si="7"/>
        <v>1</v>
      </c>
      <c r="L16" s="1">
        <v>0</v>
      </c>
      <c r="N16" t="s">
        <v>25</v>
      </c>
      <c r="O16" s="1">
        <v>1</v>
      </c>
    </row>
    <row r="17" spans="1:15" x14ac:dyDescent="0.3">
      <c r="A17" s="1" t="str">
        <f>_xlfn.CONCAT("0b",D17:G17, " ", Table2[[#This Row],[D3]:[D0]])</f>
        <v>0b0000 1110</v>
      </c>
      <c r="B17" s="1" t="str">
        <f t="shared" si="8"/>
        <v>0x0E</v>
      </c>
      <c r="C17" s="10">
        <v>14</v>
      </c>
      <c r="D17" s="9">
        <f t="shared" si="0"/>
        <v>0</v>
      </c>
      <c r="E17" s="1">
        <f t="shared" si="1"/>
        <v>0</v>
      </c>
      <c r="F17" s="1">
        <f t="shared" si="2"/>
        <v>0</v>
      </c>
      <c r="G17" s="1">
        <f t="shared" si="3"/>
        <v>0</v>
      </c>
      <c r="H17" s="1">
        <f t="shared" si="4"/>
        <v>1</v>
      </c>
      <c r="I17" s="1">
        <f t="shared" si="5"/>
        <v>1</v>
      </c>
      <c r="J17" s="1">
        <f t="shared" si="6"/>
        <v>1</v>
      </c>
      <c r="K17" s="10">
        <f t="shared" si="7"/>
        <v>0</v>
      </c>
      <c r="L17" s="1">
        <v>0</v>
      </c>
      <c r="N17" t="s">
        <v>26</v>
      </c>
      <c r="O17" s="1">
        <v>1</v>
      </c>
    </row>
    <row r="18" spans="1:15" x14ac:dyDescent="0.3">
      <c r="A18" s="1" t="str">
        <f>_xlfn.CONCAT("0b",D18:G18, " ", Table2[[#This Row],[D3]:[D0]])</f>
        <v>0b0000 1111</v>
      </c>
      <c r="B18" s="1" t="str">
        <f t="shared" si="8"/>
        <v>0x0F</v>
      </c>
      <c r="C18" s="10">
        <v>15</v>
      </c>
      <c r="D18" s="9">
        <f t="shared" si="0"/>
        <v>0</v>
      </c>
      <c r="E18" s="1">
        <f t="shared" si="1"/>
        <v>0</v>
      </c>
      <c r="F18" s="1">
        <f t="shared" si="2"/>
        <v>0</v>
      </c>
      <c r="G18" s="1">
        <f t="shared" si="3"/>
        <v>0</v>
      </c>
      <c r="H18" s="1">
        <f t="shared" si="4"/>
        <v>1</v>
      </c>
      <c r="I18" s="1">
        <f t="shared" si="5"/>
        <v>1</v>
      </c>
      <c r="J18" s="1">
        <f t="shared" si="6"/>
        <v>1</v>
      </c>
      <c r="K18" s="10">
        <f t="shared" si="7"/>
        <v>1</v>
      </c>
      <c r="L18" s="1">
        <v>0</v>
      </c>
      <c r="N18" t="s">
        <v>27</v>
      </c>
      <c r="O18" s="1">
        <v>1</v>
      </c>
    </row>
    <row r="19" spans="1:15" x14ac:dyDescent="0.3">
      <c r="A19" s="1" t="str">
        <f>_xlfn.CONCAT("0b",D19:G19, " ", Table2[[#This Row],[D3]:[D0]])</f>
        <v>0b0001 0000</v>
      </c>
      <c r="B19" s="1" t="str">
        <f t="shared" si="8"/>
        <v>0x10</v>
      </c>
      <c r="C19" s="10">
        <v>16</v>
      </c>
      <c r="D19" s="9">
        <f t="shared" si="0"/>
        <v>0</v>
      </c>
      <c r="E19" s="1">
        <f t="shared" si="1"/>
        <v>0</v>
      </c>
      <c r="F19" s="1">
        <f t="shared" si="2"/>
        <v>0</v>
      </c>
      <c r="G19" s="1">
        <f t="shared" si="3"/>
        <v>1</v>
      </c>
      <c r="H19" s="1">
        <f t="shared" si="4"/>
        <v>0</v>
      </c>
      <c r="I19" s="1">
        <f t="shared" si="5"/>
        <v>0</v>
      </c>
      <c r="J19" s="1">
        <f t="shared" si="6"/>
        <v>0</v>
      </c>
      <c r="K19" s="10">
        <f t="shared" si="7"/>
        <v>0</v>
      </c>
      <c r="L19" s="1">
        <v>0</v>
      </c>
      <c r="N19" t="s">
        <v>28</v>
      </c>
      <c r="O19" s="1">
        <v>1</v>
      </c>
    </row>
    <row r="20" spans="1:15" x14ac:dyDescent="0.3">
      <c r="A20" s="1" t="str">
        <f>_xlfn.CONCAT("0b",D20:G20, " ", Table2[[#This Row],[D3]:[D0]])</f>
        <v>0b0001 0001</v>
      </c>
      <c r="B20" s="1" t="str">
        <f t="shared" si="8"/>
        <v>0x11</v>
      </c>
      <c r="C20" s="10">
        <v>17</v>
      </c>
      <c r="D20" s="9">
        <f t="shared" si="0"/>
        <v>0</v>
      </c>
      <c r="E20" s="1">
        <f t="shared" si="1"/>
        <v>0</v>
      </c>
      <c r="F20" s="1">
        <f t="shared" si="2"/>
        <v>0</v>
      </c>
      <c r="G20" s="1">
        <f t="shared" si="3"/>
        <v>1</v>
      </c>
      <c r="H20" s="1">
        <f t="shared" si="4"/>
        <v>0</v>
      </c>
      <c r="I20" s="1">
        <f t="shared" si="5"/>
        <v>0</v>
      </c>
      <c r="J20" s="1">
        <f t="shared" si="6"/>
        <v>0</v>
      </c>
      <c r="K20" s="10">
        <f t="shared" si="7"/>
        <v>1</v>
      </c>
      <c r="L20" s="1">
        <v>0</v>
      </c>
      <c r="N20" t="s">
        <v>28</v>
      </c>
      <c r="O20" s="1">
        <v>1</v>
      </c>
    </row>
    <row r="21" spans="1:15" x14ac:dyDescent="0.3">
      <c r="A21" s="1" t="str">
        <f>_xlfn.CONCAT("0b",D21:G21, " ", Table2[[#This Row],[D3]:[D0]])</f>
        <v>0b0001 0010</v>
      </c>
      <c r="B21" s="1" t="str">
        <f t="shared" si="8"/>
        <v>0x12</v>
      </c>
      <c r="C21" s="10">
        <v>18</v>
      </c>
      <c r="D21" s="9">
        <f t="shared" si="0"/>
        <v>0</v>
      </c>
      <c r="E21" s="1">
        <f t="shared" si="1"/>
        <v>0</v>
      </c>
      <c r="F21" s="1">
        <f t="shared" si="2"/>
        <v>0</v>
      </c>
      <c r="G21" s="1">
        <f t="shared" si="3"/>
        <v>1</v>
      </c>
      <c r="H21" s="1">
        <f t="shared" si="4"/>
        <v>0</v>
      </c>
      <c r="I21" s="1">
        <f t="shared" si="5"/>
        <v>0</v>
      </c>
      <c r="J21" s="1">
        <f t="shared" si="6"/>
        <v>1</v>
      </c>
      <c r="K21" s="10">
        <f t="shared" si="7"/>
        <v>0</v>
      </c>
      <c r="L21" s="1">
        <v>0</v>
      </c>
      <c r="N21" t="s">
        <v>28</v>
      </c>
      <c r="O21" s="1">
        <v>1</v>
      </c>
    </row>
    <row r="22" spans="1:15" x14ac:dyDescent="0.3">
      <c r="A22" s="1" t="str">
        <f>_xlfn.CONCAT("0b",D22:G22, " ", Table2[[#This Row],[D3]:[D0]])</f>
        <v>0b0001 0011</v>
      </c>
      <c r="B22" s="1" t="str">
        <f t="shared" si="8"/>
        <v>0x13</v>
      </c>
      <c r="C22" s="10">
        <v>19</v>
      </c>
      <c r="D22" s="9">
        <f t="shared" si="0"/>
        <v>0</v>
      </c>
      <c r="E22" s="1">
        <f t="shared" si="1"/>
        <v>0</v>
      </c>
      <c r="F22" s="1">
        <f t="shared" si="2"/>
        <v>0</v>
      </c>
      <c r="G22" s="1">
        <f t="shared" si="3"/>
        <v>1</v>
      </c>
      <c r="H22" s="1">
        <f t="shared" si="4"/>
        <v>0</v>
      </c>
      <c r="I22" s="1">
        <f t="shared" si="5"/>
        <v>0</v>
      </c>
      <c r="J22" s="1">
        <f t="shared" si="6"/>
        <v>1</v>
      </c>
      <c r="K22" s="10">
        <f t="shared" si="7"/>
        <v>1</v>
      </c>
      <c r="L22" s="1">
        <v>0</v>
      </c>
      <c r="N22" t="s">
        <v>28</v>
      </c>
      <c r="O22" s="1">
        <v>1</v>
      </c>
    </row>
    <row r="23" spans="1:15" x14ac:dyDescent="0.3">
      <c r="A23" s="1" t="str">
        <f>_xlfn.CONCAT("0b",D23:G23, " ", Table2[[#This Row],[D3]:[D0]])</f>
        <v>0b0001 0100</v>
      </c>
      <c r="B23" s="1" t="str">
        <f t="shared" si="8"/>
        <v>0x14</v>
      </c>
      <c r="C23" s="10">
        <v>20</v>
      </c>
      <c r="D23" s="9">
        <f t="shared" si="0"/>
        <v>0</v>
      </c>
      <c r="E23" s="1">
        <f t="shared" si="1"/>
        <v>0</v>
      </c>
      <c r="F23" s="1">
        <f t="shared" si="2"/>
        <v>0</v>
      </c>
      <c r="G23" s="1">
        <f t="shared" si="3"/>
        <v>1</v>
      </c>
      <c r="H23" s="1">
        <f t="shared" si="4"/>
        <v>0</v>
      </c>
      <c r="I23" s="1">
        <f t="shared" si="5"/>
        <v>1</v>
      </c>
      <c r="J23" s="1">
        <f t="shared" si="6"/>
        <v>0</v>
      </c>
      <c r="K23" s="10">
        <f t="shared" si="7"/>
        <v>0</v>
      </c>
      <c r="L23" s="1">
        <v>0</v>
      </c>
      <c r="N23" t="s">
        <v>28</v>
      </c>
      <c r="O23" s="1">
        <v>1</v>
      </c>
    </row>
    <row r="24" spans="1:15" x14ac:dyDescent="0.3">
      <c r="A24" s="1" t="str">
        <f>_xlfn.CONCAT("0b",D24:G24, " ", Table2[[#This Row],[D3]:[D0]])</f>
        <v>0b0001 0101</v>
      </c>
      <c r="B24" s="1" t="str">
        <f t="shared" si="8"/>
        <v>0x15</v>
      </c>
      <c r="C24" s="10">
        <v>21</v>
      </c>
      <c r="D24" s="9">
        <f t="shared" si="0"/>
        <v>0</v>
      </c>
      <c r="E24" s="1">
        <f t="shared" si="1"/>
        <v>0</v>
      </c>
      <c r="F24" s="1">
        <f t="shared" si="2"/>
        <v>0</v>
      </c>
      <c r="G24" s="1">
        <f t="shared" si="3"/>
        <v>1</v>
      </c>
      <c r="H24" s="1">
        <f t="shared" si="4"/>
        <v>0</v>
      </c>
      <c r="I24" s="1">
        <f t="shared" si="5"/>
        <v>1</v>
      </c>
      <c r="J24" s="1">
        <f t="shared" si="6"/>
        <v>0</v>
      </c>
      <c r="K24" s="10">
        <f t="shared" si="7"/>
        <v>1</v>
      </c>
      <c r="L24" s="1">
        <v>0</v>
      </c>
      <c r="N24" t="s">
        <v>28</v>
      </c>
      <c r="O24" s="1">
        <v>1</v>
      </c>
    </row>
    <row r="25" spans="1:15" x14ac:dyDescent="0.3">
      <c r="A25" s="1" t="str">
        <f>_xlfn.CONCAT("0b",D25:G25, " ", Table2[[#This Row],[D3]:[D0]])</f>
        <v>0b0001 0110</v>
      </c>
      <c r="B25" s="1" t="str">
        <f t="shared" si="8"/>
        <v>0x16</v>
      </c>
      <c r="C25" s="10">
        <v>22</v>
      </c>
      <c r="D25" s="9">
        <f t="shared" si="0"/>
        <v>0</v>
      </c>
      <c r="E25" s="1">
        <f t="shared" si="1"/>
        <v>0</v>
      </c>
      <c r="F25" s="1">
        <f t="shared" si="2"/>
        <v>0</v>
      </c>
      <c r="G25" s="1">
        <f t="shared" si="3"/>
        <v>1</v>
      </c>
      <c r="H25" s="1">
        <f t="shared" si="4"/>
        <v>0</v>
      </c>
      <c r="I25" s="1">
        <f t="shared" si="5"/>
        <v>1</v>
      </c>
      <c r="J25" s="1">
        <f t="shared" si="6"/>
        <v>1</v>
      </c>
      <c r="K25" s="10">
        <f t="shared" si="7"/>
        <v>0</v>
      </c>
      <c r="L25" s="1">
        <v>0</v>
      </c>
      <c r="N25" t="s">
        <v>28</v>
      </c>
      <c r="O25" s="1">
        <v>1</v>
      </c>
    </row>
    <row r="26" spans="1:15" x14ac:dyDescent="0.3">
      <c r="A26" s="1" t="str">
        <f>_xlfn.CONCAT("0b",D26:G26, " ", Table2[[#This Row],[D3]:[D0]])</f>
        <v>0b0001 0111</v>
      </c>
      <c r="B26" s="1" t="str">
        <f t="shared" si="8"/>
        <v>0x17</v>
      </c>
      <c r="C26" s="10">
        <v>23</v>
      </c>
      <c r="D26" s="9">
        <f t="shared" si="0"/>
        <v>0</v>
      </c>
      <c r="E26" s="1">
        <f t="shared" si="1"/>
        <v>0</v>
      </c>
      <c r="F26" s="1">
        <f t="shared" si="2"/>
        <v>0</v>
      </c>
      <c r="G26" s="1">
        <f t="shared" si="3"/>
        <v>1</v>
      </c>
      <c r="H26" s="1">
        <f t="shared" si="4"/>
        <v>0</v>
      </c>
      <c r="I26" s="1">
        <f t="shared" si="5"/>
        <v>1</v>
      </c>
      <c r="J26" s="1">
        <f t="shared" si="6"/>
        <v>1</v>
      </c>
      <c r="K26" s="10">
        <f t="shared" si="7"/>
        <v>1</v>
      </c>
      <c r="L26" s="1">
        <v>0</v>
      </c>
      <c r="N26" t="s">
        <v>28</v>
      </c>
      <c r="O26" s="1">
        <v>1</v>
      </c>
    </row>
    <row r="27" spans="1:15" x14ac:dyDescent="0.3">
      <c r="A27" s="1" t="str">
        <f>_xlfn.CONCAT("0b",D27:G27, " ", Table2[[#This Row],[D3]:[D0]])</f>
        <v>0b0001 1000</v>
      </c>
      <c r="B27" s="1" t="str">
        <f>_xlfn.CONCAT("0x",BIN2HEX(_xlfn.CONCAT(D27:K27), 2))</f>
        <v>0x18</v>
      </c>
      <c r="C27" s="10">
        <v>24</v>
      </c>
      <c r="D27" s="9">
        <f t="shared" si="0"/>
        <v>0</v>
      </c>
      <c r="E27" s="1">
        <f t="shared" si="1"/>
        <v>0</v>
      </c>
      <c r="F27" s="1">
        <f t="shared" si="2"/>
        <v>0</v>
      </c>
      <c r="G27" s="1">
        <f t="shared" si="3"/>
        <v>1</v>
      </c>
      <c r="H27" s="1">
        <f t="shared" si="4"/>
        <v>1</v>
      </c>
      <c r="I27" s="1">
        <f t="shared" si="5"/>
        <v>0</v>
      </c>
      <c r="J27" s="1">
        <f t="shared" si="6"/>
        <v>0</v>
      </c>
      <c r="K27" s="10">
        <f t="shared" si="7"/>
        <v>0</v>
      </c>
      <c r="L27" s="1">
        <v>0</v>
      </c>
      <c r="N27" t="s">
        <v>28</v>
      </c>
      <c r="O27" s="1">
        <v>1</v>
      </c>
    </row>
    <row r="28" spans="1:15" x14ac:dyDescent="0.3">
      <c r="A28" s="1" t="str">
        <f>_xlfn.CONCAT("0b",D28:G28, " ", Table2[[#This Row],[D3]:[D0]])</f>
        <v>0b0001 1001</v>
      </c>
      <c r="B28" s="1" t="str">
        <f t="shared" ref="B28:B36" si="9">_xlfn.CONCAT("0x",BIN2HEX(_xlfn.CONCAT(D28:K28), 2))</f>
        <v>0x19</v>
      </c>
      <c r="C28" s="10">
        <v>25</v>
      </c>
      <c r="D28" s="9">
        <f t="shared" si="0"/>
        <v>0</v>
      </c>
      <c r="E28" s="1">
        <f t="shared" si="1"/>
        <v>0</v>
      </c>
      <c r="F28" s="1">
        <f t="shared" si="2"/>
        <v>0</v>
      </c>
      <c r="G28" s="1">
        <f t="shared" si="3"/>
        <v>1</v>
      </c>
      <c r="H28" s="1">
        <f t="shared" si="4"/>
        <v>1</v>
      </c>
      <c r="I28" s="1">
        <f t="shared" si="5"/>
        <v>0</v>
      </c>
      <c r="J28" s="1">
        <f t="shared" si="6"/>
        <v>0</v>
      </c>
      <c r="K28" s="10">
        <f t="shared" si="7"/>
        <v>1</v>
      </c>
      <c r="L28" s="1">
        <v>0</v>
      </c>
      <c r="N28" t="s">
        <v>28</v>
      </c>
      <c r="O28" s="1">
        <v>1</v>
      </c>
    </row>
    <row r="29" spans="1:15" x14ac:dyDescent="0.3">
      <c r="A29" s="1" t="str">
        <f>_xlfn.CONCAT("0b",D29:G29, " ", Table2[[#This Row],[D3]:[D0]])</f>
        <v>0b0001 1010</v>
      </c>
      <c r="B29" s="1" t="str">
        <f t="shared" si="9"/>
        <v>0x1A</v>
      </c>
      <c r="C29" s="10">
        <v>26</v>
      </c>
      <c r="D29" s="9">
        <f t="shared" si="0"/>
        <v>0</v>
      </c>
      <c r="E29" s="1">
        <f t="shared" si="1"/>
        <v>0</v>
      </c>
      <c r="F29" s="1">
        <f t="shared" si="2"/>
        <v>0</v>
      </c>
      <c r="G29" s="1">
        <f t="shared" si="3"/>
        <v>1</v>
      </c>
      <c r="H29" s="1">
        <f t="shared" si="4"/>
        <v>1</v>
      </c>
      <c r="I29" s="1">
        <f t="shared" si="5"/>
        <v>0</v>
      </c>
      <c r="J29" s="1">
        <f t="shared" si="6"/>
        <v>1</v>
      </c>
      <c r="K29" s="10">
        <f t="shared" si="7"/>
        <v>0</v>
      </c>
      <c r="L29" s="1">
        <v>0</v>
      </c>
      <c r="N29" t="s">
        <v>28</v>
      </c>
      <c r="O29" s="1">
        <v>1</v>
      </c>
    </row>
    <row r="30" spans="1:15" x14ac:dyDescent="0.3">
      <c r="A30" s="1" t="str">
        <f>_xlfn.CONCAT("0b",D30:G30, " ", Table2[[#This Row],[D3]:[D0]])</f>
        <v>0b0001 1011</v>
      </c>
      <c r="B30" s="1" t="str">
        <f t="shared" si="9"/>
        <v>0x1B</v>
      </c>
      <c r="C30" s="10">
        <v>27</v>
      </c>
      <c r="D30" s="9">
        <f t="shared" si="0"/>
        <v>0</v>
      </c>
      <c r="E30" s="1">
        <f t="shared" si="1"/>
        <v>0</v>
      </c>
      <c r="F30" s="1">
        <f t="shared" si="2"/>
        <v>0</v>
      </c>
      <c r="G30" s="1">
        <f t="shared" si="3"/>
        <v>1</v>
      </c>
      <c r="H30" s="1">
        <f t="shared" si="4"/>
        <v>1</v>
      </c>
      <c r="I30" s="1">
        <f t="shared" si="5"/>
        <v>0</v>
      </c>
      <c r="J30" s="1">
        <f t="shared" si="6"/>
        <v>1</v>
      </c>
      <c r="K30" s="10">
        <f t="shared" si="7"/>
        <v>1</v>
      </c>
      <c r="L30" s="1">
        <v>0</v>
      </c>
      <c r="N30" t="s">
        <v>28</v>
      </c>
      <c r="O30" s="1">
        <v>1</v>
      </c>
    </row>
    <row r="31" spans="1:15" x14ac:dyDescent="0.3">
      <c r="A31" s="1" t="str">
        <f>_xlfn.CONCAT("0b",D31:G31, " ", Table2[[#This Row],[D3]:[D0]])</f>
        <v>0b0001 1100</v>
      </c>
      <c r="B31" s="1" t="str">
        <f t="shared" si="9"/>
        <v>0x1C</v>
      </c>
      <c r="C31" s="10">
        <v>28</v>
      </c>
      <c r="D31" s="9">
        <f t="shared" si="0"/>
        <v>0</v>
      </c>
      <c r="E31" s="1">
        <f t="shared" si="1"/>
        <v>0</v>
      </c>
      <c r="F31" s="1">
        <f t="shared" si="2"/>
        <v>0</v>
      </c>
      <c r="G31" s="1">
        <f t="shared" si="3"/>
        <v>1</v>
      </c>
      <c r="H31" s="1">
        <f t="shared" si="4"/>
        <v>1</v>
      </c>
      <c r="I31" s="1">
        <f t="shared" si="5"/>
        <v>1</v>
      </c>
      <c r="J31" s="1">
        <f t="shared" si="6"/>
        <v>0</v>
      </c>
      <c r="K31" s="10">
        <f t="shared" si="7"/>
        <v>0</v>
      </c>
      <c r="L31" s="1">
        <v>0</v>
      </c>
      <c r="N31" t="s">
        <v>28</v>
      </c>
      <c r="O31" s="1">
        <v>1</v>
      </c>
    </row>
    <row r="32" spans="1:15" x14ac:dyDescent="0.3">
      <c r="A32" s="1" t="str">
        <f>_xlfn.CONCAT("0b",D32:G32, " ", Table2[[#This Row],[D3]:[D0]])</f>
        <v>0b0001 1101</v>
      </c>
      <c r="B32" s="1" t="str">
        <f t="shared" si="9"/>
        <v>0x1D</v>
      </c>
      <c r="C32" s="10">
        <v>29</v>
      </c>
      <c r="D32" s="9">
        <f t="shared" si="0"/>
        <v>0</v>
      </c>
      <c r="E32" s="1">
        <f t="shared" si="1"/>
        <v>0</v>
      </c>
      <c r="F32" s="1">
        <f t="shared" si="2"/>
        <v>0</v>
      </c>
      <c r="G32" s="1">
        <f t="shared" si="3"/>
        <v>1</v>
      </c>
      <c r="H32" s="1">
        <f t="shared" si="4"/>
        <v>1</v>
      </c>
      <c r="I32" s="1">
        <f t="shared" si="5"/>
        <v>1</v>
      </c>
      <c r="J32" s="1">
        <f t="shared" si="6"/>
        <v>0</v>
      </c>
      <c r="K32" s="10">
        <f t="shared" si="7"/>
        <v>1</v>
      </c>
      <c r="L32" s="1">
        <v>0</v>
      </c>
      <c r="N32" t="s">
        <v>28</v>
      </c>
      <c r="O32" s="1">
        <v>1</v>
      </c>
    </row>
    <row r="33" spans="1:17" x14ac:dyDescent="0.3">
      <c r="A33" s="1" t="str">
        <f>_xlfn.CONCAT("0b",D33:G33, " ", Table2[[#This Row],[D3]:[D0]])</f>
        <v>0b0001 1110</v>
      </c>
      <c r="B33" s="1" t="str">
        <f t="shared" si="9"/>
        <v>0x1E</v>
      </c>
      <c r="C33" s="10">
        <v>30</v>
      </c>
      <c r="D33" s="9">
        <f t="shared" si="0"/>
        <v>0</v>
      </c>
      <c r="E33" s="1">
        <f t="shared" si="1"/>
        <v>0</v>
      </c>
      <c r="F33" s="1">
        <f t="shared" si="2"/>
        <v>0</v>
      </c>
      <c r="G33" s="1">
        <f t="shared" si="3"/>
        <v>1</v>
      </c>
      <c r="H33" s="1">
        <f t="shared" si="4"/>
        <v>1</v>
      </c>
      <c r="I33" s="1">
        <f t="shared" si="5"/>
        <v>1</v>
      </c>
      <c r="J33" s="1">
        <f t="shared" si="6"/>
        <v>1</v>
      </c>
      <c r="K33" s="10">
        <f t="shared" si="7"/>
        <v>0</v>
      </c>
      <c r="L33" s="1">
        <v>0</v>
      </c>
      <c r="N33" t="s">
        <v>28</v>
      </c>
      <c r="O33" s="1">
        <v>1</v>
      </c>
    </row>
    <row r="34" spans="1:17" x14ac:dyDescent="0.3">
      <c r="A34" s="1" t="str">
        <f>_xlfn.CONCAT("0b",D34:G34, " ", Table2[[#This Row],[D3]:[D0]])</f>
        <v>0b0001 1111</v>
      </c>
      <c r="B34" s="1" t="str">
        <f t="shared" si="9"/>
        <v>0x1F</v>
      </c>
      <c r="C34" s="10">
        <v>31</v>
      </c>
      <c r="D34" s="9">
        <f t="shared" si="0"/>
        <v>0</v>
      </c>
      <c r="E34" s="1">
        <f t="shared" si="1"/>
        <v>0</v>
      </c>
      <c r="F34" s="1">
        <f t="shared" si="2"/>
        <v>0</v>
      </c>
      <c r="G34" s="1">
        <f t="shared" si="3"/>
        <v>1</v>
      </c>
      <c r="H34" s="1">
        <f t="shared" si="4"/>
        <v>1</v>
      </c>
      <c r="I34" s="1">
        <f t="shared" si="5"/>
        <v>1</v>
      </c>
      <c r="J34" s="1">
        <f t="shared" si="6"/>
        <v>1</v>
      </c>
      <c r="K34" s="10">
        <f t="shared" si="7"/>
        <v>1</v>
      </c>
      <c r="L34" s="1">
        <v>0</v>
      </c>
      <c r="N34" t="s">
        <v>28</v>
      </c>
      <c r="O34" s="1">
        <v>1</v>
      </c>
    </row>
    <row r="35" spans="1:17" x14ac:dyDescent="0.3">
      <c r="A35" s="1" t="str">
        <f>_xlfn.CONCAT("0b",D35:G35, " ", Table2[[#This Row],[D3]:[D0]])</f>
        <v>0b0010 0000</v>
      </c>
      <c r="B35" s="1" t="str">
        <f t="shared" si="9"/>
        <v>0x20</v>
      </c>
      <c r="C35" s="10">
        <v>32</v>
      </c>
      <c r="D35" s="9">
        <f t="shared" si="0"/>
        <v>0</v>
      </c>
      <c r="E35" s="1">
        <f t="shared" si="1"/>
        <v>0</v>
      </c>
      <c r="F35" s="1">
        <f t="shared" si="2"/>
        <v>1</v>
      </c>
      <c r="G35" s="1">
        <f t="shared" si="3"/>
        <v>0</v>
      </c>
      <c r="H35" s="1">
        <f t="shared" si="4"/>
        <v>0</v>
      </c>
      <c r="I35" s="1">
        <f t="shared" si="5"/>
        <v>0</v>
      </c>
      <c r="J35" s="1">
        <f t="shared" si="6"/>
        <v>0</v>
      </c>
      <c r="K35" s="10">
        <f t="shared" si="7"/>
        <v>0</v>
      </c>
      <c r="L35" s="1">
        <v>0</v>
      </c>
      <c r="M35" s="17" t="s">
        <v>29</v>
      </c>
      <c r="N35" t="s">
        <v>34</v>
      </c>
      <c r="O35" s="1">
        <v>1</v>
      </c>
      <c r="P35" s="17">
        <v>0</v>
      </c>
      <c r="Q35" t="s">
        <v>45</v>
      </c>
    </row>
    <row r="36" spans="1:17" x14ac:dyDescent="0.3">
      <c r="A36" s="1" t="str">
        <f>_xlfn.CONCAT("0b",D36:G36, " ", Table2[[#This Row],[D3]:[D0]])</f>
        <v>0b0010 0001</v>
      </c>
      <c r="B36" s="1" t="str">
        <f t="shared" si="9"/>
        <v>0x21</v>
      </c>
      <c r="C36" s="10">
        <v>33</v>
      </c>
      <c r="D36" s="9">
        <f t="shared" si="0"/>
        <v>0</v>
      </c>
      <c r="E36" s="1">
        <f t="shared" si="1"/>
        <v>0</v>
      </c>
      <c r="F36" s="1">
        <f t="shared" si="2"/>
        <v>1</v>
      </c>
      <c r="G36" s="1">
        <f t="shared" si="3"/>
        <v>0</v>
      </c>
      <c r="H36" s="1">
        <f t="shared" si="4"/>
        <v>0</v>
      </c>
      <c r="I36" s="1">
        <f t="shared" si="5"/>
        <v>0</v>
      </c>
      <c r="J36" s="1">
        <f t="shared" si="6"/>
        <v>0</v>
      </c>
      <c r="K36" s="10">
        <f t="shared" si="7"/>
        <v>1</v>
      </c>
      <c r="L36" s="1">
        <v>0</v>
      </c>
      <c r="M36" s="17" t="s">
        <v>32</v>
      </c>
      <c r="N36" t="s">
        <v>34</v>
      </c>
      <c r="O36" s="1">
        <v>1</v>
      </c>
      <c r="P36" s="17">
        <v>1</v>
      </c>
      <c r="Q36" t="s">
        <v>45</v>
      </c>
    </row>
    <row r="37" spans="1:17" x14ac:dyDescent="0.3">
      <c r="A37" s="1" t="str">
        <f>_xlfn.CONCAT("0b",D37:G37, " ", Table2[[#This Row],[D3]:[D0]])</f>
        <v>0b0010 0010</v>
      </c>
      <c r="B37" s="1" t="str">
        <f t="shared" ref="B37:B66" si="10">_xlfn.CONCAT("0x",BIN2HEX(_xlfn.CONCAT(D37:K37), 2))</f>
        <v>0x22</v>
      </c>
      <c r="C37" s="10">
        <v>34</v>
      </c>
      <c r="D37" s="9">
        <f t="shared" si="0"/>
        <v>0</v>
      </c>
      <c r="E37" s="1">
        <f t="shared" si="1"/>
        <v>0</v>
      </c>
      <c r="F37" s="1">
        <f t="shared" si="2"/>
        <v>1</v>
      </c>
      <c r="G37" s="1">
        <f t="shared" si="3"/>
        <v>0</v>
      </c>
      <c r="H37" s="1">
        <f t="shared" si="4"/>
        <v>0</v>
      </c>
      <c r="I37" s="1">
        <f t="shared" si="5"/>
        <v>0</v>
      </c>
      <c r="J37" s="1">
        <f t="shared" si="6"/>
        <v>1</v>
      </c>
      <c r="K37" s="10">
        <f t="shared" si="7"/>
        <v>0</v>
      </c>
      <c r="L37" s="1">
        <v>0</v>
      </c>
      <c r="M37" s="17" t="s">
        <v>30</v>
      </c>
      <c r="N37" t="s">
        <v>34</v>
      </c>
      <c r="O37" s="1">
        <v>1</v>
      </c>
      <c r="P37" s="17">
        <v>2</v>
      </c>
      <c r="Q37" t="s">
        <v>45</v>
      </c>
    </row>
    <row r="38" spans="1:17" x14ac:dyDescent="0.3">
      <c r="A38" s="1" t="str">
        <f>_xlfn.CONCAT("0b",D38:G38, " ", Table2[[#This Row],[D3]:[D0]])</f>
        <v>0b0010 0011</v>
      </c>
      <c r="B38" s="1" t="str">
        <f t="shared" si="10"/>
        <v>0x23</v>
      </c>
      <c r="C38" s="10">
        <v>35</v>
      </c>
      <c r="D38" s="9">
        <f t="shared" si="0"/>
        <v>0</v>
      </c>
      <c r="E38" s="1">
        <f t="shared" si="1"/>
        <v>0</v>
      </c>
      <c r="F38" s="1">
        <f t="shared" si="2"/>
        <v>1</v>
      </c>
      <c r="G38" s="1">
        <f t="shared" si="3"/>
        <v>0</v>
      </c>
      <c r="H38" s="1">
        <f t="shared" si="4"/>
        <v>0</v>
      </c>
      <c r="I38" s="1">
        <f t="shared" si="5"/>
        <v>0</v>
      </c>
      <c r="J38" s="1">
        <f t="shared" si="6"/>
        <v>1</v>
      </c>
      <c r="K38" s="10">
        <f t="shared" si="7"/>
        <v>1</v>
      </c>
      <c r="L38" s="1">
        <v>0</v>
      </c>
      <c r="M38" s="17" t="s">
        <v>31</v>
      </c>
      <c r="N38" t="s">
        <v>34</v>
      </c>
      <c r="O38" s="1">
        <v>1</v>
      </c>
      <c r="P38" s="17">
        <v>3</v>
      </c>
      <c r="Q38" t="s">
        <v>45</v>
      </c>
    </row>
    <row r="39" spans="1:17" x14ac:dyDescent="0.3">
      <c r="A39" s="1" t="str">
        <f>_xlfn.CONCAT("0b",D39:G39, " ", Table2[[#This Row],[D3]:[D0]])</f>
        <v>0b0010 0100</v>
      </c>
      <c r="B39" s="1" t="str">
        <f t="shared" si="10"/>
        <v>0x24</v>
      </c>
      <c r="C39" s="10">
        <v>36</v>
      </c>
      <c r="D39" s="9">
        <f t="shared" si="0"/>
        <v>0</v>
      </c>
      <c r="E39" s="1">
        <f t="shared" si="1"/>
        <v>0</v>
      </c>
      <c r="F39" s="1">
        <f t="shared" si="2"/>
        <v>1</v>
      </c>
      <c r="G39" s="1">
        <f t="shared" si="3"/>
        <v>0</v>
      </c>
      <c r="H39" s="1">
        <f t="shared" si="4"/>
        <v>0</v>
      </c>
      <c r="I39" s="1">
        <f t="shared" si="5"/>
        <v>1</v>
      </c>
      <c r="J39" s="1">
        <f t="shared" si="6"/>
        <v>0</v>
      </c>
      <c r="K39" s="10">
        <f t="shared" si="7"/>
        <v>0</v>
      </c>
      <c r="L39" s="1">
        <v>0</v>
      </c>
      <c r="M39" s="17" t="s">
        <v>33</v>
      </c>
      <c r="N39" t="s">
        <v>34</v>
      </c>
      <c r="O39" s="1">
        <v>1</v>
      </c>
      <c r="P39" s="17">
        <v>4</v>
      </c>
      <c r="Q39" t="s">
        <v>45</v>
      </c>
    </row>
    <row r="40" spans="1:17" x14ac:dyDescent="0.3">
      <c r="A40" s="1" t="str">
        <f>_xlfn.CONCAT("0b",D40:G40, " ", Table2[[#This Row],[D3]:[D0]])</f>
        <v>0b0010 0101</v>
      </c>
      <c r="B40" s="1" t="str">
        <f t="shared" si="10"/>
        <v>0x25</v>
      </c>
      <c r="C40" s="10">
        <v>37</v>
      </c>
      <c r="D40" s="9">
        <f t="shared" si="0"/>
        <v>0</v>
      </c>
      <c r="E40" s="1">
        <f t="shared" si="1"/>
        <v>0</v>
      </c>
      <c r="F40" s="1">
        <f t="shared" si="2"/>
        <v>1</v>
      </c>
      <c r="G40" s="1">
        <f t="shared" si="3"/>
        <v>0</v>
      </c>
      <c r="H40" s="1">
        <f t="shared" si="4"/>
        <v>0</v>
      </c>
      <c r="I40" s="1">
        <f t="shared" si="5"/>
        <v>1</v>
      </c>
      <c r="J40" s="1">
        <f t="shared" si="6"/>
        <v>0</v>
      </c>
      <c r="K40" s="10">
        <f t="shared" si="7"/>
        <v>1</v>
      </c>
      <c r="L40" s="1">
        <v>0</v>
      </c>
      <c r="M40" s="17" t="s">
        <v>36</v>
      </c>
      <c r="N40" t="s">
        <v>35</v>
      </c>
      <c r="O40" s="1">
        <v>1</v>
      </c>
      <c r="P40" s="17">
        <v>5</v>
      </c>
      <c r="Q40" t="s">
        <v>45</v>
      </c>
    </row>
    <row r="41" spans="1:17" x14ac:dyDescent="0.3">
      <c r="A41" s="1" t="str">
        <f>_xlfn.CONCAT("0b",D41:G41, " ", Table2[[#This Row],[D3]:[D0]])</f>
        <v>0b0010 0110</v>
      </c>
      <c r="B41" s="1" t="str">
        <f t="shared" si="10"/>
        <v>0x26</v>
      </c>
      <c r="C41" s="10">
        <v>38</v>
      </c>
      <c r="D41" s="9">
        <f t="shared" si="0"/>
        <v>0</v>
      </c>
      <c r="E41" s="1">
        <f t="shared" si="1"/>
        <v>0</v>
      </c>
      <c r="F41" s="1">
        <f t="shared" si="2"/>
        <v>1</v>
      </c>
      <c r="G41" s="1">
        <f t="shared" si="3"/>
        <v>0</v>
      </c>
      <c r="H41" s="1">
        <f t="shared" si="4"/>
        <v>0</v>
      </c>
      <c r="I41" s="1">
        <f t="shared" si="5"/>
        <v>1</v>
      </c>
      <c r="J41" s="1">
        <f t="shared" si="6"/>
        <v>1</v>
      </c>
      <c r="K41" s="10">
        <f t="shared" si="7"/>
        <v>0</v>
      </c>
      <c r="L41" s="1">
        <v>0</v>
      </c>
      <c r="M41" s="17" t="s">
        <v>36</v>
      </c>
      <c r="N41" t="s">
        <v>35</v>
      </c>
      <c r="O41" s="1">
        <v>1</v>
      </c>
      <c r="P41" s="17">
        <v>6</v>
      </c>
      <c r="Q41" t="s">
        <v>45</v>
      </c>
    </row>
    <row r="42" spans="1:17" x14ac:dyDescent="0.3">
      <c r="A42" s="1" t="str">
        <f>_xlfn.CONCAT("0b",D42:G42, " ", Table2[[#This Row],[D3]:[D0]])</f>
        <v>0b0010 0111</v>
      </c>
      <c r="B42" s="1" t="str">
        <f t="shared" si="10"/>
        <v>0x27</v>
      </c>
      <c r="C42" s="10">
        <v>39</v>
      </c>
      <c r="D42" s="9">
        <f t="shared" si="0"/>
        <v>0</v>
      </c>
      <c r="E42" s="1">
        <f t="shared" si="1"/>
        <v>0</v>
      </c>
      <c r="F42" s="1">
        <f t="shared" si="2"/>
        <v>1</v>
      </c>
      <c r="G42" s="1">
        <f t="shared" si="3"/>
        <v>0</v>
      </c>
      <c r="H42" s="1">
        <f t="shared" si="4"/>
        <v>0</v>
      </c>
      <c r="I42" s="1">
        <f t="shared" si="5"/>
        <v>1</v>
      </c>
      <c r="J42" s="1">
        <f t="shared" si="6"/>
        <v>1</v>
      </c>
      <c r="K42" s="10">
        <f t="shared" si="7"/>
        <v>1</v>
      </c>
      <c r="L42" s="1">
        <v>0</v>
      </c>
      <c r="M42" s="18" t="s">
        <v>37</v>
      </c>
      <c r="N42" t="s">
        <v>34</v>
      </c>
      <c r="O42" s="1">
        <v>1</v>
      </c>
      <c r="P42" s="17">
        <v>7</v>
      </c>
      <c r="Q42" t="s">
        <v>45</v>
      </c>
    </row>
    <row r="43" spans="1:17" x14ac:dyDescent="0.3">
      <c r="A43" s="1" t="str">
        <f>_xlfn.CONCAT("0b",D43:G43, " ", Table2[[#This Row],[D3]:[D0]])</f>
        <v>0b0010 1000</v>
      </c>
      <c r="B43" s="1" t="str">
        <f t="shared" si="10"/>
        <v>0x28</v>
      </c>
      <c r="C43" s="10">
        <v>40</v>
      </c>
      <c r="D43" s="9">
        <f t="shared" si="0"/>
        <v>0</v>
      </c>
      <c r="E43" s="1">
        <f t="shared" si="1"/>
        <v>0</v>
      </c>
      <c r="F43" s="1">
        <f t="shared" si="2"/>
        <v>1</v>
      </c>
      <c r="G43" s="1">
        <f t="shared" si="3"/>
        <v>0</v>
      </c>
      <c r="H43" s="1">
        <f t="shared" si="4"/>
        <v>1</v>
      </c>
      <c r="I43" s="1">
        <f t="shared" si="5"/>
        <v>0</v>
      </c>
      <c r="J43" s="1">
        <f t="shared" si="6"/>
        <v>0</v>
      </c>
      <c r="K43" s="10">
        <f t="shared" si="7"/>
        <v>0</v>
      </c>
      <c r="L43" s="1">
        <v>0</v>
      </c>
      <c r="M43" s="17" t="s">
        <v>38</v>
      </c>
      <c r="N43" t="s">
        <v>34</v>
      </c>
      <c r="O43" s="1">
        <v>1</v>
      </c>
      <c r="P43" s="17">
        <v>8</v>
      </c>
      <c r="Q43" t="s">
        <v>45</v>
      </c>
    </row>
    <row r="44" spans="1:17" x14ac:dyDescent="0.3">
      <c r="A44" s="1" t="str">
        <f>_xlfn.CONCAT("0b",D44:G44, " ", Table2[[#This Row],[D3]:[D0]])</f>
        <v>0b0010 1001</v>
      </c>
      <c r="B44" s="1" t="str">
        <f t="shared" si="10"/>
        <v>0x29</v>
      </c>
      <c r="C44" s="10">
        <v>41</v>
      </c>
      <c r="D44" s="9">
        <f t="shared" si="0"/>
        <v>0</v>
      </c>
      <c r="E44" s="1">
        <f t="shared" si="1"/>
        <v>0</v>
      </c>
      <c r="F44" s="1">
        <f t="shared" si="2"/>
        <v>1</v>
      </c>
      <c r="G44" s="1">
        <f t="shared" si="3"/>
        <v>0</v>
      </c>
      <c r="H44" s="1">
        <f t="shared" si="4"/>
        <v>1</v>
      </c>
      <c r="I44" s="1">
        <f t="shared" si="5"/>
        <v>0</v>
      </c>
      <c r="J44" s="1">
        <f t="shared" si="6"/>
        <v>0</v>
      </c>
      <c r="K44" s="10">
        <f t="shared" si="7"/>
        <v>1</v>
      </c>
      <c r="L44" s="1">
        <v>0</v>
      </c>
      <c r="M44" s="17" t="s">
        <v>39</v>
      </c>
      <c r="N44" t="s">
        <v>34</v>
      </c>
      <c r="O44" s="1">
        <v>1</v>
      </c>
      <c r="P44" s="17">
        <v>9</v>
      </c>
      <c r="Q44" t="s">
        <v>45</v>
      </c>
    </row>
    <row r="45" spans="1:17" x14ac:dyDescent="0.3">
      <c r="A45" s="1" t="str">
        <f>_xlfn.CONCAT("0b",D45:G45, " ", Table2[[#This Row],[D3]:[D0]])</f>
        <v>0b0010 1010</v>
      </c>
      <c r="B45" s="1" t="str">
        <f t="shared" si="10"/>
        <v>0x2A</v>
      </c>
      <c r="C45" s="10">
        <v>42</v>
      </c>
      <c r="D45" s="9">
        <f t="shared" si="0"/>
        <v>0</v>
      </c>
      <c r="E45" s="1">
        <f t="shared" si="1"/>
        <v>0</v>
      </c>
      <c r="F45" s="1">
        <f t="shared" si="2"/>
        <v>1</v>
      </c>
      <c r="G45" s="1">
        <f t="shared" si="3"/>
        <v>0</v>
      </c>
      <c r="H45" s="1">
        <f t="shared" si="4"/>
        <v>1</v>
      </c>
      <c r="I45" s="1">
        <f t="shared" si="5"/>
        <v>0</v>
      </c>
      <c r="J45" s="1">
        <f t="shared" si="6"/>
        <v>1</v>
      </c>
      <c r="K45" s="10">
        <f t="shared" si="7"/>
        <v>0</v>
      </c>
      <c r="L45" s="1">
        <v>0</v>
      </c>
      <c r="M45" s="17" t="s">
        <v>40</v>
      </c>
      <c r="N45" t="s">
        <v>34</v>
      </c>
      <c r="O45" s="1">
        <v>1</v>
      </c>
      <c r="P45" s="17" t="s">
        <v>46</v>
      </c>
      <c r="Q45" t="s">
        <v>48</v>
      </c>
    </row>
    <row r="46" spans="1:17" x14ac:dyDescent="0.3">
      <c r="A46" s="1" t="str">
        <f>_xlfn.CONCAT("0b",D46:G46, " ", Table2[[#This Row],[D3]:[D0]])</f>
        <v>0b0010 1011</v>
      </c>
      <c r="B46" s="1" t="str">
        <f t="shared" si="10"/>
        <v>0x2B</v>
      </c>
      <c r="C46" s="10">
        <v>43</v>
      </c>
      <c r="D46" s="9">
        <f t="shared" si="0"/>
        <v>0</v>
      </c>
      <c r="E46" s="1">
        <f t="shared" si="1"/>
        <v>0</v>
      </c>
      <c r="F46" s="1">
        <f t="shared" si="2"/>
        <v>1</v>
      </c>
      <c r="G46" s="1">
        <f t="shared" si="3"/>
        <v>0</v>
      </c>
      <c r="H46" s="1">
        <f t="shared" si="4"/>
        <v>1</v>
      </c>
      <c r="I46" s="1">
        <f t="shared" si="5"/>
        <v>0</v>
      </c>
      <c r="J46" s="1">
        <f t="shared" si="6"/>
        <v>1</v>
      </c>
      <c r="K46" s="10">
        <f t="shared" si="7"/>
        <v>1</v>
      </c>
      <c r="L46" s="1">
        <v>0</v>
      </c>
      <c r="M46" s="17" t="s">
        <v>41</v>
      </c>
      <c r="N46" t="s">
        <v>34</v>
      </c>
      <c r="O46" s="1">
        <v>1</v>
      </c>
      <c r="P46" s="21" t="s">
        <v>36</v>
      </c>
      <c r="Q46" s="22" t="s">
        <v>35</v>
      </c>
    </row>
    <row r="47" spans="1:17" x14ac:dyDescent="0.3">
      <c r="A47" s="1" t="str">
        <f>_xlfn.CONCAT("0b",D47:G47, " ", Table2[[#This Row],[D3]:[D0]])</f>
        <v>0b0010 1100</v>
      </c>
      <c r="B47" s="1" t="str">
        <f t="shared" si="10"/>
        <v>0x2C</v>
      </c>
      <c r="C47" s="10">
        <v>44</v>
      </c>
      <c r="D47" s="9">
        <f t="shared" si="0"/>
        <v>0</v>
      </c>
      <c r="E47" s="1">
        <f t="shared" si="1"/>
        <v>0</v>
      </c>
      <c r="F47" s="1">
        <f t="shared" si="2"/>
        <v>1</v>
      </c>
      <c r="G47" s="1">
        <f t="shared" si="3"/>
        <v>0</v>
      </c>
      <c r="H47" s="1">
        <f t="shared" si="4"/>
        <v>1</v>
      </c>
      <c r="I47" s="1">
        <f t="shared" si="5"/>
        <v>1</v>
      </c>
      <c r="J47" s="1">
        <f t="shared" si="6"/>
        <v>0</v>
      </c>
      <c r="K47" s="10">
        <f t="shared" si="7"/>
        <v>0</v>
      </c>
      <c r="L47" s="1">
        <v>0</v>
      </c>
      <c r="M47" s="17" t="s">
        <v>42</v>
      </c>
      <c r="N47" t="s">
        <v>34</v>
      </c>
      <c r="O47" s="1">
        <v>1</v>
      </c>
      <c r="P47" s="17" t="str">
        <f>M63</f>
        <v>&lt;</v>
      </c>
      <c r="Q47" t="str">
        <f>N63</f>
        <v>Found Character</v>
      </c>
    </row>
    <row r="48" spans="1:17" x14ac:dyDescent="0.3">
      <c r="A48" s="1" t="str">
        <f>_xlfn.CONCAT("0b",D48:G48, " ", Table2[[#This Row],[D3]:[D0]])</f>
        <v>0b0010 1101</v>
      </c>
      <c r="B48" s="1" t="str">
        <f t="shared" si="10"/>
        <v>0x2D</v>
      </c>
      <c r="C48" s="10">
        <v>45</v>
      </c>
      <c r="D48" s="9">
        <f t="shared" si="0"/>
        <v>0</v>
      </c>
      <c r="E48" s="1">
        <f t="shared" si="1"/>
        <v>0</v>
      </c>
      <c r="F48" s="1">
        <f t="shared" si="2"/>
        <v>1</v>
      </c>
      <c r="G48" s="1">
        <f t="shared" si="3"/>
        <v>0</v>
      </c>
      <c r="H48" s="1">
        <f t="shared" si="4"/>
        <v>1</v>
      </c>
      <c r="I48" s="1">
        <f t="shared" si="5"/>
        <v>1</v>
      </c>
      <c r="J48" s="1">
        <f t="shared" si="6"/>
        <v>0</v>
      </c>
      <c r="K48" s="10">
        <f t="shared" si="7"/>
        <v>1</v>
      </c>
      <c r="L48" s="1">
        <v>0</v>
      </c>
      <c r="M48" s="17" t="s">
        <v>28</v>
      </c>
      <c r="N48" t="s">
        <v>34</v>
      </c>
      <c r="O48" s="1">
        <v>1</v>
      </c>
      <c r="P48" s="17" t="str">
        <f t="shared" ref="P48:P50" si="11">M64</f>
        <v>=</v>
      </c>
      <c r="Q48" t="str">
        <f t="shared" ref="Q48:Q50" si="12">N64</f>
        <v>Found Character (top two)</v>
      </c>
    </row>
    <row r="49" spans="1:17" x14ac:dyDescent="0.3">
      <c r="A49" s="1" t="str">
        <f>_xlfn.CONCAT("0b",D49:G49, " ", Table2[[#This Row],[D3]:[D0]])</f>
        <v>0b0010 1110</v>
      </c>
      <c r="B49" s="1" t="str">
        <f t="shared" si="10"/>
        <v>0x2E</v>
      </c>
      <c r="C49" s="10">
        <v>46</v>
      </c>
      <c r="D49" s="9">
        <f t="shared" si="0"/>
        <v>0</v>
      </c>
      <c r="E49" s="1">
        <f t="shared" si="1"/>
        <v>0</v>
      </c>
      <c r="F49" s="1">
        <f t="shared" si="2"/>
        <v>1</v>
      </c>
      <c r="G49" s="1">
        <f t="shared" si="3"/>
        <v>0</v>
      </c>
      <c r="H49" s="1">
        <f t="shared" si="4"/>
        <v>1</v>
      </c>
      <c r="I49" s="1">
        <f t="shared" si="5"/>
        <v>1</v>
      </c>
      <c r="J49" s="1">
        <f t="shared" si="6"/>
        <v>1</v>
      </c>
      <c r="K49" s="10">
        <f t="shared" si="7"/>
        <v>0</v>
      </c>
      <c r="L49" s="1">
        <v>0</v>
      </c>
      <c r="M49" s="17" t="s">
        <v>43</v>
      </c>
      <c r="N49" t="s">
        <v>34</v>
      </c>
      <c r="O49" s="1">
        <v>1</v>
      </c>
      <c r="P49" s="17" t="str">
        <f t="shared" si="11"/>
        <v>&gt;</v>
      </c>
      <c r="Q49" t="str">
        <f t="shared" si="12"/>
        <v>Found Character</v>
      </c>
    </row>
    <row r="50" spans="1:17" x14ac:dyDescent="0.3">
      <c r="A50" s="1" t="str">
        <f>_xlfn.CONCAT("0b",D50:G50, " ", Table2[[#This Row],[D3]:[D0]])</f>
        <v>0b0010 1111</v>
      </c>
      <c r="B50" s="1" t="str">
        <f t="shared" si="10"/>
        <v>0x2F</v>
      </c>
      <c r="C50" s="10">
        <v>47</v>
      </c>
      <c r="D50" s="9">
        <f t="shared" si="0"/>
        <v>0</v>
      </c>
      <c r="E50" s="1">
        <f t="shared" si="1"/>
        <v>0</v>
      </c>
      <c r="F50" s="1">
        <f t="shared" si="2"/>
        <v>1</v>
      </c>
      <c r="G50" s="1">
        <f t="shared" si="3"/>
        <v>0</v>
      </c>
      <c r="H50" s="1">
        <f t="shared" si="4"/>
        <v>1</v>
      </c>
      <c r="I50" s="1">
        <f t="shared" si="5"/>
        <v>1</v>
      </c>
      <c r="J50" s="1">
        <f t="shared" si="6"/>
        <v>1</v>
      </c>
      <c r="K50" s="10">
        <f t="shared" si="7"/>
        <v>1</v>
      </c>
      <c r="L50" s="1">
        <v>0</v>
      </c>
      <c r="M50" s="17" t="s">
        <v>44</v>
      </c>
      <c r="N50" t="s">
        <v>34</v>
      </c>
      <c r="O50" s="1">
        <v>1</v>
      </c>
      <c r="P50" s="17" t="str">
        <f t="shared" si="11"/>
        <v>?</v>
      </c>
      <c r="Q50" t="str">
        <f t="shared" si="12"/>
        <v>Found Character</v>
      </c>
    </row>
    <row r="51" spans="1:17" x14ac:dyDescent="0.3">
      <c r="A51" s="1" t="str">
        <f>_xlfn.CONCAT("0b",D51:G51, " ", Table2[[#This Row],[D3]:[D0]])</f>
        <v>0b0011 0000</v>
      </c>
      <c r="B51" s="1" t="str">
        <f t="shared" si="10"/>
        <v>0x30</v>
      </c>
      <c r="C51" s="10">
        <v>48</v>
      </c>
      <c r="D51" s="9">
        <f t="shared" si="0"/>
        <v>0</v>
      </c>
      <c r="E51" s="1">
        <f t="shared" si="1"/>
        <v>0</v>
      </c>
      <c r="F51" s="1">
        <f t="shared" si="2"/>
        <v>1</v>
      </c>
      <c r="G51" s="1">
        <f t="shared" si="3"/>
        <v>1</v>
      </c>
      <c r="H51" s="1">
        <f t="shared" si="4"/>
        <v>0</v>
      </c>
      <c r="I51" s="1">
        <f t="shared" si="5"/>
        <v>0</v>
      </c>
      <c r="J51" s="1">
        <f t="shared" si="6"/>
        <v>0</v>
      </c>
      <c r="K51" s="10">
        <f t="shared" si="7"/>
        <v>0</v>
      </c>
      <c r="L51" s="1">
        <v>0</v>
      </c>
      <c r="M51" s="17">
        <v>0</v>
      </c>
      <c r="N51" t="s">
        <v>45</v>
      </c>
      <c r="O51" s="1">
        <v>1</v>
      </c>
      <c r="P51" s="17">
        <f>P35</f>
        <v>0</v>
      </c>
      <c r="Q51" t="str">
        <f>Q35</f>
        <v>Found Number</v>
      </c>
    </row>
    <row r="52" spans="1:17" x14ac:dyDescent="0.3">
      <c r="A52" s="1" t="str">
        <f>_xlfn.CONCAT("0b",D52:G52, " ", Table2[[#This Row],[D3]:[D0]])</f>
        <v>0b0011 0001</v>
      </c>
      <c r="B52" s="1" t="str">
        <f t="shared" si="10"/>
        <v>0x31</v>
      </c>
      <c r="C52" s="10">
        <v>49</v>
      </c>
      <c r="D52" s="9">
        <f t="shared" si="0"/>
        <v>0</v>
      </c>
      <c r="E52" s="1">
        <f t="shared" si="1"/>
        <v>0</v>
      </c>
      <c r="F52" s="1">
        <f t="shared" si="2"/>
        <v>1</v>
      </c>
      <c r="G52" s="1">
        <f t="shared" si="3"/>
        <v>1</v>
      </c>
      <c r="H52" s="1">
        <f t="shared" si="4"/>
        <v>0</v>
      </c>
      <c r="I52" s="1">
        <f t="shared" si="5"/>
        <v>0</v>
      </c>
      <c r="J52" s="1">
        <f t="shared" si="6"/>
        <v>0</v>
      </c>
      <c r="K52" s="10">
        <f t="shared" si="7"/>
        <v>1</v>
      </c>
      <c r="L52" s="1">
        <v>0</v>
      </c>
      <c r="M52" s="17">
        <v>1</v>
      </c>
      <c r="N52" t="s">
        <v>45</v>
      </c>
      <c r="O52" s="1">
        <v>1</v>
      </c>
      <c r="P52" s="17">
        <f t="shared" ref="P52:Q60" si="13">P36</f>
        <v>1</v>
      </c>
      <c r="Q52" t="str">
        <f t="shared" si="13"/>
        <v>Found Number</v>
      </c>
    </row>
    <row r="53" spans="1:17" x14ac:dyDescent="0.3">
      <c r="A53" s="1" t="str">
        <f>_xlfn.CONCAT("0b",D53:G53, " ", Table2[[#This Row],[D3]:[D0]])</f>
        <v>0b0011 0010</v>
      </c>
      <c r="B53" s="1" t="str">
        <f t="shared" si="10"/>
        <v>0x32</v>
      </c>
      <c r="C53" s="10">
        <v>50</v>
      </c>
      <c r="D53" s="9">
        <f t="shared" si="0"/>
        <v>0</v>
      </c>
      <c r="E53" s="1">
        <f t="shared" si="1"/>
        <v>0</v>
      </c>
      <c r="F53" s="1">
        <f t="shared" si="2"/>
        <v>1</v>
      </c>
      <c r="G53" s="1">
        <f t="shared" si="3"/>
        <v>1</v>
      </c>
      <c r="H53" s="1">
        <f t="shared" si="4"/>
        <v>0</v>
      </c>
      <c r="I53" s="1">
        <f t="shared" si="5"/>
        <v>0</v>
      </c>
      <c r="J53" s="1">
        <f t="shared" si="6"/>
        <v>1</v>
      </c>
      <c r="K53" s="10">
        <f t="shared" si="7"/>
        <v>0</v>
      </c>
      <c r="L53" s="1">
        <v>0</v>
      </c>
      <c r="M53" s="17">
        <v>2</v>
      </c>
      <c r="N53" t="s">
        <v>45</v>
      </c>
      <c r="O53" s="1">
        <v>1</v>
      </c>
      <c r="P53" s="17">
        <f t="shared" si="13"/>
        <v>2</v>
      </c>
      <c r="Q53" t="str">
        <f t="shared" si="13"/>
        <v>Found Number</v>
      </c>
    </row>
    <row r="54" spans="1:17" x14ac:dyDescent="0.3">
      <c r="A54" s="1" t="str">
        <f>_xlfn.CONCAT("0b",D54:G54, " ", Table2[[#This Row],[D3]:[D0]])</f>
        <v>0b0011 0011</v>
      </c>
      <c r="B54" s="1" t="str">
        <f t="shared" si="10"/>
        <v>0x33</v>
      </c>
      <c r="C54" s="10">
        <v>51</v>
      </c>
      <c r="D54" s="9">
        <f t="shared" si="0"/>
        <v>0</v>
      </c>
      <c r="E54" s="1">
        <f t="shared" si="1"/>
        <v>0</v>
      </c>
      <c r="F54" s="1">
        <f t="shared" si="2"/>
        <v>1</v>
      </c>
      <c r="G54" s="1">
        <f t="shared" si="3"/>
        <v>1</v>
      </c>
      <c r="H54" s="1">
        <f t="shared" si="4"/>
        <v>0</v>
      </c>
      <c r="I54" s="1">
        <f t="shared" si="5"/>
        <v>0</v>
      </c>
      <c r="J54" s="1">
        <f t="shared" si="6"/>
        <v>1</v>
      </c>
      <c r="K54" s="10">
        <f t="shared" si="7"/>
        <v>1</v>
      </c>
      <c r="L54" s="1">
        <v>0</v>
      </c>
      <c r="M54" s="17">
        <v>3</v>
      </c>
      <c r="N54" t="s">
        <v>45</v>
      </c>
      <c r="O54" s="1">
        <v>1</v>
      </c>
      <c r="P54" s="17">
        <f t="shared" si="13"/>
        <v>3</v>
      </c>
      <c r="Q54" t="str">
        <f t="shared" si="13"/>
        <v>Found Number</v>
      </c>
    </row>
    <row r="55" spans="1:17" x14ac:dyDescent="0.3">
      <c r="A55" s="1" t="str">
        <f>_xlfn.CONCAT("0b",D55:G55, " ", Table2[[#This Row],[D3]:[D0]])</f>
        <v>0b0011 0100</v>
      </c>
      <c r="B55" s="1" t="str">
        <f t="shared" si="10"/>
        <v>0x34</v>
      </c>
      <c r="C55" s="10">
        <v>52</v>
      </c>
      <c r="D55" s="9">
        <f t="shared" si="0"/>
        <v>0</v>
      </c>
      <c r="E55" s="1">
        <f t="shared" si="1"/>
        <v>0</v>
      </c>
      <c r="F55" s="1">
        <f t="shared" si="2"/>
        <v>1</v>
      </c>
      <c r="G55" s="1">
        <f t="shared" si="3"/>
        <v>1</v>
      </c>
      <c r="H55" s="1">
        <f t="shared" si="4"/>
        <v>0</v>
      </c>
      <c r="I55" s="1">
        <f t="shared" si="5"/>
        <v>1</v>
      </c>
      <c r="J55" s="1">
        <f t="shared" si="6"/>
        <v>0</v>
      </c>
      <c r="K55" s="10">
        <f t="shared" si="7"/>
        <v>0</v>
      </c>
      <c r="L55" s="1">
        <v>0</v>
      </c>
      <c r="M55" s="17">
        <v>4</v>
      </c>
      <c r="N55" t="s">
        <v>45</v>
      </c>
      <c r="O55" s="1">
        <v>1</v>
      </c>
      <c r="P55" s="17">
        <f t="shared" si="13"/>
        <v>4</v>
      </c>
      <c r="Q55" t="str">
        <f t="shared" si="13"/>
        <v>Found Number</v>
      </c>
    </row>
    <row r="56" spans="1:17" x14ac:dyDescent="0.3">
      <c r="A56" s="1" t="str">
        <f>_xlfn.CONCAT("0b",D56:G56, " ", Table2[[#This Row],[D3]:[D0]])</f>
        <v>0b0011 0101</v>
      </c>
      <c r="B56" s="1" t="str">
        <f t="shared" si="10"/>
        <v>0x35</v>
      </c>
      <c r="C56" s="10">
        <v>53</v>
      </c>
      <c r="D56" s="9">
        <f t="shared" si="0"/>
        <v>0</v>
      </c>
      <c r="E56" s="1">
        <f t="shared" si="1"/>
        <v>0</v>
      </c>
      <c r="F56" s="1">
        <f t="shared" si="2"/>
        <v>1</v>
      </c>
      <c r="G56" s="1">
        <f t="shared" si="3"/>
        <v>1</v>
      </c>
      <c r="H56" s="1">
        <f t="shared" si="4"/>
        <v>0</v>
      </c>
      <c r="I56" s="1">
        <f t="shared" si="5"/>
        <v>1</v>
      </c>
      <c r="J56" s="1">
        <f t="shared" si="6"/>
        <v>0</v>
      </c>
      <c r="K56" s="10">
        <f t="shared" si="7"/>
        <v>1</v>
      </c>
      <c r="L56" s="1">
        <v>0</v>
      </c>
      <c r="M56" s="17">
        <v>5</v>
      </c>
      <c r="N56" t="s">
        <v>45</v>
      </c>
      <c r="O56" s="1">
        <v>1</v>
      </c>
      <c r="P56" s="17">
        <f t="shared" si="13"/>
        <v>5</v>
      </c>
      <c r="Q56" t="str">
        <f t="shared" si="13"/>
        <v>Found Number</v>
      </c>
    </row>
    <row r="57" spans="1:17" x14ac:dyDescent="0.3">
      <c r="A57" s="1" t="str">
        <f>_xlfn.CONCAT("0b",D57:G57, " ", Table2[[#This Row],[D3]:[D0]])</f>
        <v>0b0011 0110</v>
      </c>
      <c r="B57" s="1" t="str">
        <f t="shared" si="10"/>
        <v>0x36</v>
      </c>
      <c r="C57" s="10">
        <v>54</v>
      </c>
      <c r="D57" s="9">
        <f t="shared" si="0"/>
        <v>0</v>
      </c>
      <c r="E57" s="1">
        <f t="shared" si="1"/>
        <v>0</v>
      </c>
      <c r="F57" s="1">
        <f t="shared" si="2"/>
        <v>1</v>
      </c>
      <c r="G57" s="1">
        <f t="shared" si="3"/>
        <v>1</v>
      </c>
      <c r="H57" s="1">
        <f t="shared" si="4"/>
        <v>0</v>
      </c>
      <c r="I57" s="1">
        <f t="shared" si="5"/>
        <v>1</v>
      </c>
      <c r="J57" s="1">
        <f t="shared" si="6"/>
        <v>1</v>
      </c>
      <c r="K57" s="10">
        <f t="shared" si="7"/>
        <v>0</v>
      </c>
      <c r="L57" s="1">
        <v>0</v>
      </c>
      <c r="M57" s="17">
        <v>6</v>
      </c>
      <c r="N57" t="s">
        <v>45</v>
      </c>
      <c r="O57" s="1">
        <v>1</v>
      </c>
      <c r="P57" s="17">
        <f t="shared" si="13"/>
        <v>6</v>
      </c>
      <c r="Q57" t="str">
        <f t="shared" si="13"/>
        <v>Found Number</v>
      </c>
    </row>
    <row r="58" spans="1:17" x14ac:dyDescent="0.3">
      <c r="A58" s="1" t="str">
        <f>_xlfn.CONCAT("0b",D58:G58, " ", Table2[[#This Row],[D3]:[D0]])</f>
        <v>0b0011 0111</v>
      </c>
      <c r="B58" s="1" t="str">
        <f t="shared" si="10"/>
        <v>0x37</v>
      </c>
      <c r="C58" s="10">
        <v>55</v>
      </c>
      <c r="D58" s="9">
        <f t="shared" si="0"/>
        <v>0</v>
      </c>
      <c r="E58" s="1">
        <f t="shared" si="1"/>
        <v>0</v>
      </c>
      <c r="F58" s="1">
        <f t="shared" si="2"/>
        <v>1</v>
      </c>
      <c r="G58" s="1">
        <f t="shared" si="3"/>
        <v>1</v>
      </c>
      <c r="H58" s="1">
        <f t="shared" si="4"/>
        <v>0</v>
      </c>
      <c r="I58" s="1">
        <f t="shared" si="5"/>
        <v>1</v>
      </c>
      <c r="J58" s="1">
        <f t="shared" si="6"/>
        <v>1</v>
      </c>
      <c r="K58" s="10">
        <f t="shared" si="7"/>
        <v>1</v>
      </c>
      <c r="L58" s="1">
        <v>0</v>
      </c>
      <c r="M58" s="17">
        <v>7</v>
      </c>
      <c r="N58" t="s">
        <v>45</v>
      </c>
      <c r="O58" s="1">
        <v>1</v>
      </c>
      <c r="P58" s="17">
        <f t="shared" si="13"/>
        <v>7</v>
      </c>
      <c r="Q58" t="str">
        <f t="shared" si="13"/>
        <v>Found Number</v>
      </c>
    </row>
    <row r="59" spans="1:17" x14ac:dyDescent="0.3">
      <c r="A59" s="1" t="str">
        <f>_xlfn.CONCAT("0b",D59:G59, " ", Table2[[#This Row],[D3]:[D0]])</f>
        <v>0b0011 1000</v>
      </c>
      <c r="B59" s="1" t="str">
        <f t="shared" si="10"/>
        <v>0x38</v>
      </c>
      <c r="C59" s="10">
        <v>56</v>
      </c>
      <c r="D59" s="9">
        <f t="shared" si="0"/>
        <v>0</v>
      </c>
      <c r="E59" s="1">
        <f t="shared" si="1"/>
        <v>0</v>
      </c>
      <c r="F59" s="1">
        <f t="shared" si="2"/>
        <v>1</v>
      </c>
      <c r="G59" s="1">
        <f t="shared" si="3"/>
        <v>1</v>
      </c>
      <c r="H59" s="1">
        <f t="shared" si="4"/>
        <v>1</v>
      </c>
      <c r="I59" s="1">
        <f t="shared" si="5"/>
        <v>0</v>
      </c>
      <c r="J59" s="1">
        <f t="shared" si="6"/>
        <v>0</v>
      </c>
      <c r="K59" s="10">
        <f t="shared" si="7"/>
        <v>0</v>
      </c>
      <c r="L59" s="1">
        <v>0</v>
      </c>
      <c r="M59" s="17">
        <v>8</v>
      </c>
      <c r="N59" t="s">
        <v>45</v>
      </c>
      <c r="O59" s="1">
        <v>1</v>
      </c>
      <c r="P59" s="17">
        <f t="shared" si="13"/>
        <v>8</v>
      </c>
      <c r="Q59" t="str">
        <f t="shared" si="13"/>
        <v>Found Number</v>
      </c>
    </row>
    <row r="60" spans="1:17" x14ac:dyDescent="0.3">
      <c r="A60" s="1" t="str">
        <f>_xlfn.CONCAT("0b",D60:G60, " ", Table2[[#This Row],[D3]:[D0]])</f>
        <v>0b0011 1001</v>
      </c>
      <c r="B60" s="1" t="str">
        <f t="shared" si="10"/>
        <v>0x39</v>
      </c>
      <c r="C60" s="10">
        <v>57</v>
      </c>
      <c r="D60" s="9">
        <f t="shared" si="0"/>
        <v>0</v>
      </c>
      <c r="E60" s="1">
        <f t="shared" si="1"/>
        <v>0</v>
      </c>
      <c r="F60" s="1">
        <f t="shared" si="2"/>
        <v>1</v>
      </c>
      <c r="G60" s="1">
        <f t="shared" si="3"/>
        <v>1</v>
      </c>
      <c r="H60" s="1">
        <f t="shared" si="4"/>
        <v>1</v>
      </c>
      <c r="I60" s="1">
        <f t="shared" si="5"/>
        <v>0</v>
      </c>
      <c r="J60" s="1">
        <f t="shared" si="6"/>
        <v>0</v>
      </c>
      <c r="K60" s="10">
        <f t="shared" si="7"/>
        <v>1</v>
      </c>
      <c r="L60" s="1">
        <v>0</v>
      </c>
      <c r="M60" s="17">
        <v>9</v>
      </c>
      <c r="N60" t="s">
        <v>45</v>
      </c>
      <c r="O60" s="1">
        <v>1</v>
      </c>
      <c r="P60" s="17">
        <f t="shared" si="13"/>
        <v>9</v>
      </c>
      <c r="Q60" t="str">
        <f t="shared" si="13"/>
        <v>Found Number</v>
      </c>
    </row>
    <row r="61" spans="1:17" x14ac:dyDescent="0.3">
      <c r="A61" s="1" t="str">
        <f>_xlfn.CONCAT("0b",D61:G61, " ", Table2[[#This Row],[D3]:[D0]])</f>
        <v>0b0011 1010</v>
      </c>
      <c r="B61" s="1" t="str">
        <f t="shared" si="10"/>
        <v>0x3A</v>
      </c>
      <c r="C61" s="10">
        <v>58</v>
      </c>
      <c r="D61" s="9">
        <f t="shared" si="0"/>
        <v>0</v>
      </c>
      <c r="E61" s="1">
        <f t="shared" si="1"/>
        <v>0</v>
      </c>
      <c r="F61" s="1">
        <f t="shared" si="2"/>
        <v>1</v>
      </c>
      <c r="G61" s="1">
        <f t="shared" si="3"/>
        <v>1</v>
      </c>
      <c r="H61" s="1">
        <f t="shared" si="4"/>
        <v>1</v>
      </c>
      <c r="I61" s="1">
        <f t="shared" si="5"/>
        <v>0</v>
      </c>
      <c r="J61" s="1">
        <f t="shared" si="6"/>
        <v>1</v>
      </c>
      <c r="K61" s="10">
        <f t="shared" si="7"/>
        <v>0</v>
      </c>
      <c r="L61" s="1">
        <v>0</v>
      </c>
      <c r="M61" s="17" t="s">
        <v>46</v>
      </c>
      <c r="N61" t="s">
        <v>48</v>
      </c>
      <c r="O61" s="1">
        <v>1</v>
      </c>
      <c r="P61" s="17" t="str">
        <f>P45</f>
        <v>=</v>
      </c>
      <c r="Q61" t="str">
        <f t="shared" ref="Q61:Q66" si="14">Q45</f>
        <v>Found Character (bottom two)</v>
      </c>
    </row>
    <row r="62" spans="1:17" x14ac:dyDescent="0.3">
      <c r="A62" s="1" t="str">
        <f>_xlfn.CONCAT("0b",D62:G62, " ", Table2[[#This Row],[D3]:[D0]])</f>
        <v>0b0011 1011</v>
      </c>
      <c r="B62" s="1" t="str">
        <f t="shared" si="10"/>
        <v>0x3B</v>
      </c>
      <c r="C62" s="10">
        <v>59</v>
      </c>
      <c r="D62" s="9">
        <f t="shared" si="0"/>
        <v>0</v>
      </c>
      <c r="E62" s="1">
        <f t="shared" si="1"/>
        <v>0</v>
      </c>
      <c r="F62" s="1">
        <f t="shared" si="2"/>
        <v>1</v>
      </c>
      <c r="G62" s="1">
        <f t="shared" si="3"/>
        <v>1</v>
      </c>
      <c r="H62" s="1">
        <f t="shared" si="4"/>
        <v>1</v>
      </c>
      <c r="I62" s="1">
        <f t="shared" si="5"/>
        <v>0</v>
      </c>
      <c r="J62" s="1">
        <f t="shared" si="6"/>
        <v>1</v>
      </c>
      <c r="K62" s="10">
        <f t="shared" si="7"/>
        <v>1</v>
      </c>
      <c r="L62" s="1">
        <v>0</v>
      </c>
      <c r="M62" s="17" t="s">
        <v>36</v>
      </c>
      <c r="N62" t="s">
        <v>35</v>
      </c>
      <c r="O62" s="1">
        <v>1</v>
      </c>
      <c r="P62" s="17" t="str">
        <f>P46</f>
        <v>UNKNOWN</v>
      </c>
      <c r="Q62" t="str">
        <f t="shared" si="14"/>
        <v>Found Character. Unclear what it is though.</v>
      </c>
    </row>
    <row r="63" spans="1:17" x14ac:dyDescent="0.3">
      <c r="A63" s="1" t="str">
        <f>_xlfn.CONCAT("0b",D63:G63, " ", Table2[[#This Row],[D3]:[D0]])</f>
        <v>0b0011 1100</v>
      </c>
      <c r="B63" s="1" t="str">
        <f t="shared" si="10"/>
        <v>0x3C</v>
      </c>
      <c r="C63" s="10">
        <v>60</v>
      </c>
      <c r="D63" s="9">
        <f t="shared" si="0"/>
        <v>0</v>
      </c>
      <c r="E63" s="1">
        <f t="shared" si="1"/>
        <v>0</v>
      </c>
      <c r="F63" s="1">
        <f t="shared" si="2"/>
        <v>1</v>
      </c>
      <c r="G63" s="1">
        <f t="shared" si="3"/>
        <v>1</v>
      </c>
      <c r="H63" s="1">
        <f t="shared" si="4"/>
        <v>1</v>
      </c>
      <c r="I63" s="1">
        <f t="shared" si="5"/>
        <v>1</v>
      </c>
      <c r="J63" s="1">
        <f t="shared" si="6"/>
        <v>0</v>
      </c>
      <c r="K63" s="10">
        <f t="shared" si="7"/>
        <v>0</v>
      </c>
      <c r="L63" s="1">
        <v>0</v>
      </c>
      <c r="M63" s="17" t="s">
        <v>47</v>
      </c>
      <c r="N63" t="s">
        <v>34</v>
      </c>
      <c r="O63" s="1">
        <v>1</v>
      </c>
      <c r="P63" s="17" t="str">
        <f t="shared" ref="P63:P65" si="15">P47</f>
        <v>&lt;</v>
      </c>
      <c r="Q63" t="str">
        <f t="shared" si="14"/>
        <v>Found Character</v>
      </c>
    </row>
    <row r="64" spans="1:17" x14ac:dyDescent="0.3">
      <c r="A64" s="1" t="str">
        <f>_xlfn.CONCAT("0b",D64:G64, " ", Table2[[#This Row],[D3]:[D0]])</f>
        <v>0b0011 1101</v>
      </c>
      <c r="B64" s="1" t="str">
        <f t="shared" si="10"/>
        <v>0x3D</v>
      </c>
      <c r="C64" s="10">
        <v>61</v>
      </c>
      <c r="D64" s="9">
        <f t="shared" si="0"/>
        <v>0</v>
      </c>
      <c r="E64" s="1">
        <f t="shared" si="1"/>
        <v>0</v>
      </c>
      <c r="F64" s="1">
        <f t="shared" si="2"/>
        <v>1</v>
      </c>
      <c r="G64" s="1">
        <f t="shared" si="3"/>
        <v>1</v>
      </c>
      <c r="H64" s="1">
        <f t="shared" si="4"/>
        <v>1</v>
      </c>
      <c r="I64" s="1">
        <f t="shared" si="5"/>
        <v>1</v>
      </c>
      <c r="J64" s="1">
        <f t="shared" si="6"/>
        <v>0</v>
      </c>
      <c r="K64" s="10">
        <f t="shared" si="7"/>
        <v>1</v>
      </c>
      <c r="L64" s="1">
        <v>0</v>
      </c>
      <c r="M64" s="17" t="s">
        <v>46</v>
      </c>
      <c r="N64" t="s">
        <v>49</v>
      </c>
      <c r="O64" s="1">
        <v>1</v>
      </c>
      <c r="P64" s="17" t="str">
        <f t="shared" si="15"/>
        <v>=</v>
      </c>
      <c r="Q64" t="str">
        <f t="shared" si="14"/>
        <v>Found Character (top two)</v>
      </c>
    </row>
    <row r="65" spans="1:17" x14ac:dyDescent="0.3">
      <c r="A65" s="1" t="str">
        <f>_xlfn.CONCAT("0b",D65:G65, " ", Table2[[#This Row],[D3]:[D0]])</f>
        <v>0b0011 1110</v>
      </c>
      <c r="B65" s="1" t="str">
        <f t="shared" si="10"/>
        <v>0x3E</v>
      </c>
      <c r="C65" s="10">
        <v>62</v>
      </c>
      <c r="D65" s="9">
        <f t="shared" si="0"/>
        <v>0</v>
      </c>
      <c r="E65" s="1">
        <f t="shared" si="1"/>
        <v>0</v>
      </c>
      <c r="F65" s="1">
        <f t="shared" si="2"/>
        <v>1</v>
      </c>
      <c r="G65" s="1">
        <f t="shared" si="3"/>
        <v>1</v>
      </c>
      <c r="H65" s="1">
        <f t="shared" si="4"/>
        <v>1</v>
      </c>
      <c r="I65" s="1">
        <f t="shared" si="5"/>
        <v>1</v>
      </c>
      <c r="J65" s="1">
        <f t="shared" si="6"/>
        <v>1</v>
      </c>
      <c r="K65" s="10">
        <f t="shared" si="7"/>
        <v>0</v>
      </c>
      <c r="L65" s="1">
        <v>0</v>
      </c>
      <c r="M65" s="17" t="s">
        <v>50</v>
      </c>
      <c r="N65" t="s">
        <v>34</v>
      </c>
      <c r="O65" s="1">
        <v>1</v>
      </c>
      <c r="P65" s="17" t="str">
        <f t="shared" si="15"/>
        <v>&gt;</v>
      </c>
      <c r="Q65" t="str">
        <f t="shared" si="14"/>
        <v>Found Character</v>
      </c>
    </row>
    <row r="66" spans="1:17" x14ac:dyDescent="0.3">
      <c r="A66" s="1" t="str">
        <f>_xlfn.CONCAT("0b",D66:G66, " ", Table2[[#This Row],[D3]:[D0]])</f>
        <v>0b0011 1111</v>
      </c>
      <c r="B66" s="1" t="str">
        <f t="shared" si="10"/>
        <v>0x3F</v>
      </c>
      <c r="C66" s="10">
        <v>63</v>
      </c>
      <c r="D66" s="9">
        <f t="shared" si="0"/>
        <v>0</v>
      </c>
      <c r="E66" s="1">
        <f t="shared" si="1"/>
        <v>0</v>
      </c>
      <c r="F66" s="1">
        <f t="shared" si="2"/>
        <v>1</v>
      </c>
      <c r="G66" s="1">
        <f t="shared" si="3"/>
        <v>1</v>
      </c>
      <c r="H66" s="1">
        <f t="shared" si="4"/>
        <v>1</v>
      </c>
      <c r="I66" s="1">
        <f t="shared" si="5"/>
        <v>1</v>
      </c>
      <c r="J66" s="1">
        <f t="shared" si="6"/>
        <v>1</v>
      </c>
      <c r="K66" s="10">
        <f t="shared" si="7"/>
        <v>1</v>
      </c>
      <c r="L66" s="1">
        <v>0</v>
      </c>
      <c r="M66" s="17" t="s">
        <v>51</v>
      </c>
      <c r="N66" t="s">
        <v>34</v>
      </c>
      <c r="O66" s="1">
        <v>1</v>
      </c>
      <c r="P66" s="17" t="str">
        <f>P50</f>
        <v>?</v>
      </c>
      <c r="Q66" t="str">
        <f t="shared" si="14"/>
        <v>Found Character</v>
      </c>
    </row>
    <row r="67" spans="1:17" x14ac:dyDescent="0.3">
      <c r="A67" s="1" t="str">
        <f>_xlfn.CONCAT("0b",D67:G67, " ", Table2[[#This Row],[D3]:[D0]])</f>
        <v>0b0100 0000</v>
      </c>
      <c r="B67" s="1" t="str">
        <f t="shared" ref="B67:B130" si="16">_xlfn.CONCAT("0x",BIN2HEX(_xlfn.CONCAT(D67:K67), 2))</f>
        <v>0x40</v>
      </c>
      <c r="C67" s="10">
        <v>64</v>
      </c>
      <c r="D67" s="9">
        <f t="shared" ref="D67:D130" si="17">MOD(_xlfn.BITRSHIFT($C67,7),2)</f>
        <v>0</v>
      </c>
      <c r="E67" s="1">
        <f t="shared" ref="E67:E130" si="18">MOD(_xlfn.BITRSHIFT($C67,6),2)</f>
        <v>1</v>
      </c>
      <c r="F67" s="1">
        <f t="shared" ref="F67:F130" si="19">MOD(_xlfn.BITRSHIFT($C67,5),2)</f>
        <v>0</v>
      </c>
      <c r="G67" s="1">
        <f t="shared" ref="G67:G130" si="20">MOD(_xlfn.BITRSHIFT($C67,4),2)</f>
        <v>0</v>
      </c>
      <c r="H67" s="1">
        <f t="shared" ref="H67:H130" si="21">MOD(_xlfn.BITRSHIFT($C67,3),2)</f>
        <v>0</v>
      </c>
      <c r="I67" s="1">
        <f t="shared" ref="I67:I130" si="22">MOD(_xlfn.BITRSHIFT($C67,2),2)</f>
        <v>0</v>
      </c>
      <c r="J67" s="1">
        <f t="shared" ref="J67:J130" si="23">MOD(_xlfn.BITRSHIFT($C67,1),2)</f>
        <v>0</v>
      </c>
      <c r="K67" s="10">
        <f t="shared" ref="K67:K130" si="24">MOD(_xlfn.BITRSHIFT($C67,0),2)</f>
        <v>0</v>
      </c>
      <c r="L67" s="1">
        <v>0</v>
      </c>
      <c r="M67" s="18" t="s">
        <v>52</v>
      </c>
      <c r="N67" t="s">
        <v>34</v>
      </c>
      <c r="O67" s="1">
        <v>1</v>
      </c>
      <c r="P67" s="18" t="s">
        <v>69</v>
      </c>
      <c r="Q67" t="s">
        <v>54</v>
      </c>
    </row>
    <row r="68" spans="1:17" x14ac:dyDescent="0.3">
      <c r="A68" s="1" t="str">
        <f>_xlfn.CONCAT("0b",D68:G68, " ", Table2[[#This Row],[D3]:[D0]])</f>
        <v>0b0100 0001</v>
      </c>
      <c r="B68" s="1" t="str">
        <f t="shared" si="16"/>
        <v>0x41</v>
      </c>
      <c r="C68" s="10">
        <v>65</v>
      </c>
      <c r="D68" s="9">
        <f t="shared" si="17"/>
        <v>0</v>
      </c>
      <c r="E68" s="1">
        <f t="shared" si="18"/>
        <v>1</v>
      </c>
      <c r="F68" s="1">
        <f t="shared" si="19"/>
        <v>0</v>
      </c>
      <c r="G68" s="1">
        <f t="shared" si="20"/>
        <v>0</v>
      </c>
      <c r="H68" s="1">
        <f t="shared" si="21"/>
        <v>0</v>
      </c>
      <c r="I68" s="1">
        <f t="shared" si="22"/>
        <v>0</v>
      </c>
      <c r="J68" s="1">
        <f t="shared" si="23"/>
        <v>0</v>
      </c>
      <c r="K68" s="10">
        <f t="shared" si="24"/>
        <v>1</v>
      </c>
      <c r="L68" s="1">
        <v>0</v>
      </c>
      <c r="M68" s="17" t="s">
        <v>53</v>
      </c>
      <c r="N68" t="s">
        <v>54</v>
      </c>
      <c r="O68" s="1">
        <v>1</v>
      </c>
      <c r="P68" s="17" t="s">
        <v>70</v>
      </c>
      <c r="Q68" t="s">
        <v>54</v>
      </c>
    </row>
    <row r="69" spans="1:17" x14ac:dyDescent="0.3">
      <c r="A69" s="1" t="str">
        <f>_xlfn.CONCAT("0b",D69:G69, " ", Table2[[#This Row],[D3]:[D0]])</f>
        <v>0b0100 0010</v>
      </c>
      <c r="B69" s="1" t="str">
        <f t="shared" si="16"/>
        <v>0x42</v>
      </c>
      <c r="C69" s="10">
        <v>66</v>
      </c>
      <c r="D69" s="9">
        <f t="shared" si="17"/>
        <v>0</v>
      </c>
      <c r="E69" s="1">
        <f t="shared" si="18"/>
        <v>1</v>
      </c>
      <c r="F69" s="1">
        <f t="shared" si="19"/>
        <v>0</v>
      </c>
      <c r="G69" s="1">
        <f t="shared" si="20"/>
        <v>0</v>
      </c>
      <c r="H69" s="1">
        <f t="shared" si="21"/>
        <v>0</v>
      </c>
      <c r="I69" s="1">
        <f t="shared" si="22"/>
        <v>0</v>
      </c>
      <c r="J69" s="1">
        <f t="shared" si="23"/>
        <v>1</v>
      </c>
      <c r="K69" s="10">
        <f t="shared" si="24"/>
        <v>0</v>
      </c>
      <c r="L69" s="1">
        <v>0</v>
      </c>
      <c r="M69" s="17" t="s">
        <v>55</v>
      </c>
      <c r="N69" t="s">
        <v>54</v>
      </c>
      <c r="O69" s="1">
        <v>1</v>
      </c>
      <c r="P69" s="17" t="s">
        <v>71</v>
      </c>
      <c r="Q69" t="s">
        <v>54</v>
      </c>
    </row>
    <row r="70" spans="1:17" x14ac:dyDescent="0.3">
      <c r="A70" s="1" t="str">
        <f>_xlfn.CONCAT("0b",D70:G70, " ", Table2[[#This Row],[D3]:[D0]])</f>
        <v>0b0100 0011</v>
      </c>
      <c r="B70" s="1" t="str">
        <f t="shared" si="16"/>
        <v>0x43</v>
      </c>
      <c r="C70" s="10">
        <v>67</v>
      </c>
      <c r="D70" s="9">
        <f t="shared" si="17"/>
        <v>0</v>
      </c>
      <c r="E70" s="1">
        <f t="shared" si="18"/>
        <v>1</v>
      </c>
      <c r="F70" s="1">
        <f t="shared" si="19"/>
        <v>0</v>
      </c>
      <c r="G70" s="1">
        <f t="shared" si="20"/>
        <v>0</v>
      </c>
      <c r="H70" s="1">
        <f t="shared" si="21"/>
        <v>0</v>
      </c>
      <c r="I70" s="1">
        <f t="shared" si="22"/>
        <v>0</v>
      </c>
      <c r="J70" s="1">
        <f t="shared" si="23"/>
        <v>1</v>
      </c>
      <c r="K70" s="10">
        <f t="shared" si="24"/>
        <v>1</v>
      </c>
      <c r="L70" s="1">
        <v>0</v>
      </c>
      <c r="M70" s="17" t="s">
        <v>56</v>
      </c>
      <c r="N70" t="s">
        <v>54</v>
      </c>
      <c r="O70" s="1">
        <v>1</v>
      </c>
      <c r="P70" s="17" t="s">
        <v>72</v>
      </c>
      <c r="Q70" t="s">
        <v>54</v>
      </c>
    </row>
    <row r="71" spans="1:17" x14ac:dyDescent="0.3">
      <c r="A71" s="1" t="str">
        <f>_xlfn.CONCAT("0b",D71:G71, " ", Table2[[#This Row],[D3]:[D0]])</f>
        <v>0b0100 0100</v>
      </c>
      <c r="B71" s="1" t="str">
        <f t="shared" si="16"/>
        <v>0x44</v>
      </c>
      <c r="C71" s="10">
        <v>68</v>
      </c>
      <c r="D71" s="9">
        <f t="shared" si="17"/>
        <v>0</v>
      </c>
      <c r="E71" s="1">
        <f t="shared" si="18"/>
        <v>1</v>
      </c>
      <c r="F71" s="1">
        <f t="shared" si="19"/>
        <v>0</v>
      </c>
      <c r="G71" s="1">
        <f t="shared" si="20"/>
        <v>0</v>
      </c>
      <c r="H71" s="1">
        <f t="shared" si="21"/>
        <v>0</v>
      </c>
      <c r="I71" s="1">
        <f t="shared" si="22"/>
        <v>1</v>
      </c>
      <c r="J71" s="1">
        <f t="shared" si="23"/>
        <v>0</v>
      </c>
      <c r="K71" s="10">
        <f t="shared" si="24"/>
        <v>0</v>
      </c>
      <c r="L71" s="1">
        <v>0</v>
      </c>
      <c r="M71" s="17" t="s">
        <v>57</v>
      </c>
      <c r="N71" t="s">
        <v>54</v>
      </c>
      <c r="O71" s="1">
        <v>1</v>
      </c>
      <c r="P71" s="17" t="s">
        <v>73</v>
      </c>
      <c r="Q71" t="s">
        <v>54</v>
      </c>
    </row>
    <row r="72" spans="1:17" x14ac:dyDescent="0.3">
      <c r="A72" s="1" t="str">
        <f>_xlfn.CONCAT("0b",D72:G72, " ", Table2[[#This Row],[D3]:[D0]])</f>
        <v>0b0100 0101</v>
      </c>
      <c r="B72" s="1" t="str">
        <f t="shared" si="16"/>
        <v>0x45</v>
      </c>
      <c r="C72" s="10">
        <v>69</v>
      </c>
      <c r="D72" s="9">
        <f t="shared" si="17"/>
        <v>0</v>
      </c>
      <c r="E72" s="1">
        <f t="shared" si="18"/>
        <v>1</v>
      </c>
      <c r="F72" s="1">
        <f t="shared" si="19"/>
        <v>0</v>
      </c>
      <c r="G72" s="1">
        <f t="shared" si="20"/>
        <v>0</v>
      </c>
      <c r="H72" s="1">
        <f t="shared" si="21"/>
        <v>0</v>
      </c>
      <c r="I72" s="1">
        <f t="shared" si="22"/>
        <v>1</v>
      </c>
      <c r="J72" s="1">
        <f t="shared" si="23"/>
        <v>0</v>
      </c>
      <c r="K72" s="10">
        <f t="shared" si="24"/>
        <v>1</v>
      </c>
      <c r="L72" s="1">
        <v>0</v>
      </c>
      <c r="M72" s="17" t="s">
        <v>58</v>
      </c>
      <c r="N72" t="s">
        <v>54</v>
      </c>
      <c r="O72" s="1">
        <v>1</v>
      </c>
      <c r="P72" s="17" t="s">
        <v>74</v>
      </c>
      <c r="Q72" t="s">
        <v>54</v>
      </c>
    </row>
    <row r="73" spans="1:17" x14ac:dyDescent="0.3">
      <c r="A73" s="1" t="str">
        <f>_xlfn.CONCAT("0b",D73:G73, " ", Table2[[#This Row],[D3]:[D0]])</f>
        <v>0b0100 0110</v>
      </c>
      <c r="B73" s="1" t="str">
        <f t="shared" si="16"/>
        <v>0x46</v>
      </c>
      <c r="C73" s="10">
        <v>70</v>
      </c>
      <c r="D73" s="9">
        <f t="shared" si="17"/>
        <v>0</v>
      </c>
      <c r="E73" s="1">
        <f t="shared" si="18"/>
        <v>1</v>
      </c>
      <c r="F73" s="1">
        <f t="shared" si="19"/>
        <v>0</v>
      </c>
      <c r="G73" s="1">
        <f t="shared" si="20"/>
        <v>0</v>
      </c>
      <c r="H73" s="1">
        <f t="shared" si="21"/>
        <v>0</v>
      </c>
      <c r="I73" s="1">
        <f t="shared" si="22"/>
        <v>1</v>
      </c>
      <c r="J73" s="1">
        <f t="shared" si="23"/>
        <v>1</v>
      </c>
      <c r="K73" s="10">
        <f t="shared" si="24"/>
        <v>0</v>
      </c>
      <c r="L73" s="1">
        <v>0</v>
      </c>
      <c r="M73" s="17" t="s">
        <v>59</v>
      </c>
      <c r="N73" t="s">
        <v>54</v>
      </c>
      <c r="O73" s="1">
        <v>1</v>
      </c>
      <c r="P73" s="17" t="s">
        <v>75</v>
      </c>
      <c r="Q73" t="s">
        <v>54</v>
      </c>
    </row>
    <row r="74" spans="1:17" x14ac:dyDescent="0.3">
      <c r="A74" s="1" t="str">
        <f>_xlfn.CONCAT("0b",D74:G74, " ", Table2[[#This Row],[D3]:[D0]])</f>
        <v>0b0100 0111</v>
      </c>
      <c r="B74" s="1" t="str">
        <f t="shared" si="16"/>
        <v>0x47</v>
      </c>
      <c r="C74" s="10">
        <v>71</v>
      </c>
      <c r="D74" s="9">
        <f t="shared" si="17"/>
        <v>0</v>
      </c>
      <c r="E74" s="1">
        <f t="shared" si="18"/>
        <v>1</v>
      </c>
      <c r="F74" s="1">
        <f t="shared" si="19"/>
        <v>0</v>
      </c>
      <c r="G74" s="1">
        <f t="shared" si="20"/>
        <v>0</v>
      </c>
      <c r="H74" s="1">
        <f t="shared" si="21"/>
        <v>0</v>
      </c>
      <c r="I74" s="1">
        <f t="shared" si="22"/>
        <v>1</v>
      </c>
      <c r="J74" s="1">
        <f t="shared" si="23"/>
        <v>1</v>
      </c>
      <c r="K74" s="10">
        <f t="shared" si="24"/>
        <v>1</v>
      </c>
      <c r="L74" s="1">
        <v>0</v>
      </c>
      <c r="M74" s="17" t="s">
        <v>60</v>
      </c>
      <c r="N74" t="s">
        <v>54</v>
      </c>
      <c r="O74" s="1">
        <v>1</v>
      </c>
      <c r="P74" s="17" t="s">
        <v>76</v>
      </c>
      <c r="Q74" t="s">
        <v>54</v>
      </c>
    </row>
    <row r="75" spans="1:17" x14ac:dyDescent="0.3">
      <c r="A75" s="1" t="str">
        <f>_xlfn.CONCAT("0b",D75:G75, " ", Table2[[#This Row],[D3]:[D0]])</f>
        <v>0b0100 1000</v>
      </c>
      <c r="B75" s="1" t="str">
        <f t="shared" si="16"/>
        <v>0x48</v>
      </c>
      <c r="C75" s="10">
        <v>72</v>
      </c>
      <c r="D75" s="9">
        <f t="shared" si="17"/>
        <v>0</v>
      </c>
      <c r="E75" s="1">
        <f t="shared" si="18"/>
        <v>1</v>
      </c>
      <c r="F75" s="1">
        <f t="shared" si="19"/>
        <v>0</v>
      </c>
      <c r="G75" s="1">
        <f t="shared" si="20"/>
        <v>0</v>
      </c>
      <c r="H75" s="1">
        <f t="shared" si="21"/>
        <v>1</v>
      </c>
      <c r="I75" s="1">
        <f t="shared" si="22"/>
        <v>0</v>
      </c>
      <c r="J75" s="1">
        <f t="shared" si="23"/>
        <v>0</v>
      </c>
      <c r="K75" s="10">
        <f t="shared" si="24"/>
        <v>0</v>
      </c>
      <c r="L75" s="1">
        <v>0</v>
      </c>
      <c r="M75" s="17" t="s">
        <v>61</v>
      </c>
      <c r="N75" t="s">
        <v>54</v>
      </c>
      <c r="O75" s="1">
        <v>1</v>
      </c>
      <c r="P75" s="17" t="s">
        <v>19</v>
      </c>
      <c r="Q75" t="s">
        <v>54</v>
      </c>
    </row>
    <row r="76" spans="1:17" x14ac:dyDescent="0.3">
      <c r="A76" s="1" t="str">
        <f>_xlfn.CONCAT("0b",D76:G76, " ", Table2[[#This Row],[D3]:[D0]])</f>
        <v>0b0100 1001</v>
      </c>
      <c r="B76" s="1" t="str">
        <f t="shared" si="16"/>
        <v>0x49</v>
      </c>
      <c r="C76" s="10">
        <v>73</v>
      </c>
      <c r="D76" s="9">
        <f t="shared" si="17"/>
        <v>0</v>
      </c>
      <c r="E76" s="1">
        <f t="shared" si="18"/>
        <v>1</v>
      </c>
      <c r="F76" s="1">
        <f t="shared" si="19"/>
        <v>0</v>
      </c>
      <c r="G76" s="1">
        <f t="shared" si="20"/>
        <v>0</v>
      </c>
      <c r="H76" s="1">
        <f t="shared" si="21"/>
        <v>1</v>
      </c>
      <c r="I76" s="1">
        <f t="shared" si="22"/>
        <v>0</v>
      </c>
      <c r="J76" s="1">
        <f t="shared" si="23"/>
        <v>0</v>
      </c>
      <c r="K76" s="10">
        <f t="shared" si="24"/>
        <v>1</v>
      </c>
      <c r="L76" s="1">
        <v>0</v>
      </c>
      <c r="M76" s="17" t="s">
        <v>62</v>
      </c>
      <c r="N76" t="s">
        <v>54</v>
      </c>
      <c r="O76" s="1">
        <v>1</v>
      </c>
      <c r="P76" s="17" t="s">
        <v>77</v>
      </c>
      <c r="Q76" t="s">
        <v>54</v>
      </c>
    </row>
    <row r="77" spans="1:17" x14ac:dyDescent="0.3">
      <c r="A77" s="1" t="str">
        <f>_xlfn.CONCAT("0b",D77:G77, " ", Table2[[#This Row],[D3]:[D0]])</f>
        <v>0b0100 1010</v>
      </c>
      <c r="B77" s="1" t="str">
        <f t="shared" si="16"/>
        <v>0x4A</v>
      </c>
      <c r="C77" s="10">
        <v>74</v>
      </c>
      <c r="D77" s="9">
        <f t="shared" si="17"/>
        <v>0</v>
      </c>
      <c r="E77" s="1">
        <f t="shared" si="18"/>
        <v>1</v>
      </c>
      <c r="F77" s="1">
        <f t="shared" si="19"/>
        <v>0</v>
      </c>
      <c r="G77" s="1">
        <f t="shared" si="20"/>
        <v>0</v>
      </c>
      <c r="H77" s="1">
        <f t="shared" si="21"/>
        <v>1</v>
      </c>
      <c r="I77" s="1">
        <f t="shared" si="22"/>
        <v>0</v>
      </c>
      <c r="J77" s="1">
        <f t="shared" si="23"/>
        <v>1</v>
      </c>
      <c r="K77" s="10">
        <f t="shared" si="24"/>
        <v>0</v>
      </c>
      <c r="L77" s="1">
        <v>0</v>
      </c>
      <c r="M77" s="17" t="s">
        <v>63</v>
      </c>
      <c r="N77" t="s">
        <v>54</v>
      </c>
      <c r="O77" s="1">
        <v>1</v>
      </c>
      <c r="P77" s="17" t="s">
        <v>78</v>
      </c>
      <c r="Q77" t="s">
        <v>54</v>
      </c>
    </row>
    <row r="78" spans="1:17" x14ac:dyDescent="0.3">
      <c r="A78" s="1" t="str">
        <f>_xlfn.CONCAT("0b",D78:G78, " ", Table2[[#This Row],[D3]:[D0]])</f>
        <v>0b0100 1011</v>
      </c>
      <c r="B78" s="1" t="str">
        <f t="shared" si="16"/>
        <v>0x4B</v>
      </c>
      <c r="C78" s="10">
        <v>75</v>
      </c>
      <c r="D78" s="9">
        <f t="shared" si="17"/>
        <v>0</v>
      </c>
      <c r="E78" s="1">
        <f t="shared" si="18"/>
        <v>1</v>
      </c>
      <c r="F78" s="1">
        <f t="shared" si="19"/>
        <v>0</v>
      </c>
      <c r="G78" s="1">
        <f t="shared" si="20"/>
        <v>0</v>
      </c>
      <c r="H78" s="1">
        <f t="shared" si="21"/>
        <v>1</v>
      </c>
      <c r="I78" s="1">
        <f t="shared" si="22"/>
        <v>0</v>
      </c>
      <c r="J78" s="1">
        <f t="shared" si="23"/>
        <v>1</v>
      </c>
      <c r="K78" s="10">
        <f t="shared" si="24"/>
        <v>1</v>
      </c>
      <c r="L78" s="1">
        <v>0</v>
      </c>
      <c r="M78" s="17" t="s">
        <v>64</v>
      </c>
      <c r="N78" t="s">
        <v>54</v>
      </c>
      <c r="O78" s="1">
        <v>1</v>
      </c>
      <c r="P78" s="17" t="str">
        <f>M94</f>
        <v>c</v>
      </c>
      <c r="Q78" t="str" cm="1">
        <f t="array" ref="Q78:Q83">N94:N99</f>
        <v>Found Letter. Lower Case.</v>
      </c>
    </row>
    <row r="79" spans="1:17" x14ac:dyDescent="0.3">
      <c r="A79" s="1" t="str">
        <f>_xlfn.CONCAT("0b",D79:G79, " ", Table2[[#This Row],[D3]:[D0]])</f>
        <v>0b0100 1100</v>
      </c>
      <c r="B79" s="1" t="str">
        <f t="shared" si="16"/>
        <v>0x4C</v>
      </c>
      <c r="C79" s="10">
        <v>76</v>
      </c>
      <c r="D79" s="9">
        <f t="shared" si="17"/>
        <v>0</v>
      </c>
      <c r="E79" s="1">
        <f t="shared" si="18"/>
        <v>1</v>
      </c>
      <c r="F79" s="1">
        <f t="shared" si="19"/>
        <v>0</v>
      </c>
      <c r="G79" s="1">
        <f t="shared" si="20"/>
        <v>0</v>
      </c>
      <c r="H79" s="1">
        <f t="shared" si="21"/>
        <v>1</v>
      </c>
      <c r="I79" s="1">
        <f t="shared" si="22"/>
        <v>1</v>
      </c>
      <c r="J79" s="1">
        <f t="shared" si="23"/>
        <v>0</v>
      </c>
      <c r="K79" s="10">
        <f t="shared" si="24"/>
        <v>0</v>
      </c>
      <c r="L79" s="1">
        <v>0</v>
      </c>
      <c r="M79" s="17" t="s">
        <v>65</v>
      </c>
      <c r="N79" t="s">
        <v>54</v>
      </c>
      <c r="O79" s="1">
        <v>1</v>
      </c>
      <c r="P79" s="17" t="str">
        <f t="shared" ref="P79:P82" si="25">M95</f>
        <v>\</v>
      </c>
      <c r="Q79" t="str">
        <v>Found Character</v>
      </c>
    </row>
    <row r="80" spans="1:17" x14ac:dyDescent="0.3">
      <c r="A80" s="1" t="str">
        <f>_xlfn.CONCAT("0b",D80:G80, " ", Table2[[#This Row],[D3]:[D0]])</f>
        <v>0b0100 1101</v>
      </c>
      <c r="B80" s="1" t="str">
        <f t="shared" si="16"/>
        <v>0x4D</v>
      </c>
      <c r="C80" s="10">
        <v>77</v>
      </c>
      <c r="D80" s="9">
        <f t="shared" si="17"/>
        <v>0</v>
      </c>
      <c r="E80" s="1">
        <f t="shared" si="18"/>
        <v>1</v>
      </c>
      <c r="F80" s="1">
        <f t="shared" si="19"/>
        <v>0</v>
      </c>
      <c r="G80" s="1">
        <f t="shared" si="20"/>
        <v>0</v>
      </c>
      <c r="H80" s="1">
        <f t="shared" si="21"/>
        <v>1</v>
      </c>
      <c r="I80" s="1">
        <f t="shared" si="22"/>
        <v>1</v>
      </c>
      <c r="J80" s="1">
        <f t="shared" si="23"/>
        <v>0</v>
      </c>
      <c r="K80" s="10">
        <f t="shared" si="24"/>
        <v>1</v>
      </c>
      <c r="L80" s="1">
        <v>0</v>
      </c>
      <c r="M80" s="17" t="s">
        <v>66</v>
      </c>
      <c r="N80" t="s">
        <v>54</v>
      </c>
      <c r="O80" s="1">
        <v>1</v>
      </c>
      <c r="P80" s="17" t="str">
        <f t="shared" si="25"/>
        <v>ﬤ</v>
      </c>
      <c r="Q80" t="str">
        <v>Found Character</v>
      </c>
    </row>
    <row r="81" spans="1:17" x14ac:dyDescent="0.3">
      <c r="A81" s="1" t="str">
        <f>_xlfn.CONCAT("0b",D81:G81, " ", Table2[[#This Row],[D3]:[D0]])</f>
        <v>0b0100 1110</v>
      </c>
      <c r="B81" s="1" t="str">
        <f t="shared" si="16"/>
        <v>0x4E</v>
      </c>
      <c r="C81" s="10">
        <v>78</v>
      </c>
      <c r="D81" s="9">
        <f t="shared" si="17"/>
        <v>0</v>
      </c>
      <c r="E81" s="1">
        <f t="shared" si="18"/>
        <v>1</v>
      </c>
      <c r="F81" s="1">
        <f t="shared" si="19"/>
        <v>0</v>
      </c>
      <c r="G81" s="1">
        <f t="shared" si="20"/>
        <v>0</v>
      </c>
      <c r="H81" s="1">
        <f t="shared" si="21"/>
        <v>1</v>
      </c>
      <c r="I81" s="1">
        <f t="shared" si="22"/>
        <v>1</v>
      </c>
      <c r="J81" s="1">
        <f t="shared" si="23"/>
        <v>1</v>
      </c>
      <c r="K81" s="10">
        <f t="shared" si="24"/>
        <v>0</v>
      </c>
      <c r="L81" s="1">
        <v>0</v>
      </c>
      <c r="M81" s="17" t="s">
        <v>67</v>
      </c>
      <c r="N81" t="s">
        <v>54</v>
      </c>
      <c r="O81" s="1">
        <v>1</v>
      </c>
      <c r="P81" s="17" t="str">
        <f t="shared" si="25"/>
        <v>^</v>
      </c>
      <c r="Q81" t="str">
        <v>Found Character</v>
      </c>
    </row>
    <row r="82" spans="1:17" x14ac:dyDescent="0.3">
      <c r="A82" s="1" t="str">
        <f>_xlfn.CONCAT("0b",D82:G82, " ", Table2[[#This Row],[D3]:[D0]])</f>
        <v>0b0100 1111</v>
      </c>
      <c r="B82" s="1" t="str">
        <f t="shared" si="16"/>
        <v>0x4F</v>
      </c>
      <c r="C82" s="10">
        <v>79</v>
      </c>
      <c r="D82" s="9">
        <f t="shared" si="17"/>
        <v>0</v>
      </c>
      <c r="E82" s="1">
        <f t="shared" si="18"/>
        <v>1</v>
      </c>
      <c r="F82" s="1">
        <f t="shared" si="19"/>
        <v>0</v>
      </c>
      <c r="G82" s="1">
        <f t="shared" si="20"/>
        <v>0</v>
      </c>
      <c r="H82" s="1">
        <f t="shared" si="21"/>
        <v>1</v>
      </c>
      <c r="I82" s="1">
        <f t="shared" si="22"/>
        <v>1</v>
      </c>
      <c r="J82" s="1">
        <f t="shared" si="23"/>
        <v>1</v>
      </c>
      <c r="K82" s="10">
        <f t="shared" si="24"/>
        <v>1</v>
      </c>
      <c r="L82" s="1">
        <v>0</v>
      </c>
      <c r="M82" s="17" t="s">
        <v>68</v>
      </c>
      <c r="N82" t="s">
        <v>54</v>
      </c>
      <c r="O82" s="1">
        <v>1</v>
      </c>
      <c r="P82" s="17" t="str">
        <f t="shared" si="25"/>
        <v>_</v>
      </c>
      <c r="Q82" t="str">
        <v>Found Character</v>
      </c>
    </row>
    <row r="83" spans="1:17" x14ac:dyDescent="0.3">
      <c r="A83" s="1" t="str">
        <f>_xlfn.CONCAT("0b",D83:G83, " ", Table2[[#This Row],[D3]:[D0]])</f>
        <v>0b0101 0000</v>
      </c>
      <c r="B83" s="1" t="str">
        <f t="shared" si="16"/>
        <v>0x50</v>
      </c>
      <c r="C83" s="10">
        <v>80</v>
      </c>
      <c r="D83" s="9">
        <f t="shared" si="17"/>
        <v>0</v>
      </c>
      <c r="E83" s="1">
        <f t="shared" si="18"/>
        <v>1</v>
      </c>
      <c r="F83" s="1">
        <f t="shared" si="19"/>
        <v>0</v>
      </c>
      <c r="G83" s="1">
        <f t="shared" si="20"/>
        <v>1</v>
      </c>
      <c r="H83" s="1">
        <f t="shared" si="21"/>
        <v>0</v>
      </c>
      <c r="I83" s="1">
        <f t="shared" si="22"/>
        <v>0</v>
      </c>
      <c r="J83" s="1">
        <f t="shared" si="23"/>
        <v>0</v>
      </c>
      <c r="K83" s="10">
        <f t="shared" si="24"/>
        <v>0</v>
      </c>
      <c r="L83" s="1">
        <v>0</v>
      </c>
      <c r="M83" s="17" t="s">
        <v>69</v>
      </c>
      <c r="N83" t="s">
        <v>54</v>
      </c>
      <c r="O83" s="1">
        <v>1</v>
      </c>
      <c r="P83" s="17" t="s">
        <v>69</v>
      </c>
      <c r="Q83" t="str">
        <v>Found Character</v>
      </c>
    </row>
    <row r="84" spans="1:17" x14ac:dyDescent="0.3">
      <c r="A84" s="1" t="str">
        <f>_xlfn.CONCAT("0b",D84:G84, " ", Table2[[#This Row],[D3]:[D0]])</f>
        <v>0b0101 0001</v>
      </c>
      <c r="B84" s="1" t="str">
        <f t="shared" si="16"/>
        <v>0x51</v>
      </c>
      <c r="C84" s="10">
        <v>81</v>
      </c>
      <c r="D84" s="9">
        <f t="shared" si="17"/>
        <v>0</v>
      </c>
      <c r="E84" s="1">
        <f t="shared" si="18"/>
        <v>1</v>
      </c>
      <c r="F84" s="1">
        <f t="shared" si="19"/>
        <v>0</v>
      </c>
      <c r="G84" s="1">
        <f t="shared" si="20"/>
        <v>1</v>
      </c>
      <c r="H84" s="1">
        <f t="shared" si="21"/>
        <v>0</v>
      </c>
      <c r="I84" s="1">
        <f t="shared" si="22"/>
        <v>0</v>
      </c>
      <c r="J84" s="1">
        <f t="shared" si="23"/>
        <v>0</v>
      </c>
      <c r="K84" s="10">
        <f t="shared" si="24"/>
        <v>1</v>
      </c>
      <c r="L84" s="1">
        <v>0</v>
      </c>
      <c r="M84" s="17" t="s">
        <v>70</v>
      </c>
      <c r="N84" t="s">
        <v>54</v>
      </c>
      <c r="O84" s="1">
        <v>1</v>
      </c>
      <c r="P84" s="17" t="s">
        <v>70</v>
      </c>
    </row>
    <row r="85" spans="1:17" x14ac:dyDescent="0.3">
      <c r="A85" s="1" t="str">
        <f>_xlfn.CONCAT("0b",D85:G85, " ", Table2[[#This Row],[D3]:[D0]])</f>
        <v>0b0101 0010</v>
      </c>
      <c r="B85" s="1" t="str">
        <f t="shared" si="16"/>
        <v>0x52</v>
      </c>
      <c r="C85" s="10">
        <v>82</v>
      </c>
      <c r="D85" s="9">
        <f t="shared" si="17"/>
        <v>0</v>
      </c>
      <c r="E85" s="1">
        <f t="shared" si="18"/>
        <v>1</v>
      </c>
      <c r="F85" s="1">
        <f t="shared" si="19"/>
        <v>0</v>
      </c>
      <c r="G85" s="1">
        <f t="shared" si="20"/>
        <v>1</v>
      </c>
      <c r="H85" s="1">
        <f t="shared" si="21"/>
        <v>0</v>
      </c>
      <c r="I85" s="1">
        <f t="shared" si="22"/>
        <v>0</v>
      </c>
      <c r="J85" s="1">
        <f t="shared" si="23"/>
        <v>1</v>
      </c>
      <c r="K85" s="10">
        <f t="shared" si="24"/>
        <v>0</v>
      </c>
      <c r="L85" s="1">
        <v>0</v>
      </c>
      <c r="M85" s="17" t="s">
        <v>71</v>
      </c>
      <c r="N85" t="s">
        <v>54</v>
      </c>
      <c r="O85" s="1">
        <v>1</v>
      </c>
      <c r="P85" s="17" t="s">
        <v>71</v>
      </c>
    </row>
    <row r="86" spans="1:17" x14ac:dyDescent="0.3">
      <c r="A86" s="1" t="str">
        <f>_xlfn.CONCAT("0b",D86:G86, " ", Table2[[#This Row],[D3]:[D0]])</f>
        <v>0b0101 0011</v>
      </c>
      <c r="B86" s="1" t="str">
        <f t="shared" si="16"/>
        <v>0x53</v>
      </c>
      <c r="C86" s="10">
        <v>83</v>
      </c>
      <c r="D86" s="9">
        <f t="shared" si="17"/>
        <v>0</v>
      </c>
      <c r="E86" s="1">
        <f t="shared" si="18"/>
        <v>1</v>
      </c>
      <c r="F86" s="1">
        <f t="shared" si="19"/>
        <v>0</v>
      </c>
      <c r="G86" s="1">
        <f t="shared" si="20"/>
        <v>1</v>
      </c>
      <c r="H86" s="1">
        <f t="shared" si="21"/>
        <v>0</v>
      </c>
      <c r="I86" s="1">
        <f t="shared" si="22"/>
        <v>0</v>
      </c>
      <c r="J86" s="1">
        <f t="shared" si="23"/>
        <v>1</v>
      </c>
      <c r="K86" s="10">
        <f t="shared" si="24"/>
        <v>1</v>
      </c>
      <c r="L86" s="1">
        <v>0</v>
      </c>
      <c r="M86" s="17" t="s">
        <v>72</v>
      </c>
      <c r="N86" t="s">
        <v>54</v>
      </c>
      <c r="O86" s="1">
        <v>1</v>
      </c>
      <c r="P86" s="17" t="s">
        <v>72</v>
      </c>
    </row>
    <row r="87" spans="1:17" x14ac:dyDescent="0.3">
      <c r="A87" s="1" t="str">
        <f>_xlfn.CONCAT("0b",D87:G87, " ", Table2[[#This Row],[D3]:[D0]])</f>
        <v>0b0101 0100</v>
      </c>
      <c r="B87" s="1" t="str">
        <f t="shared" si="16"/>
        <v>0x54</v>
      </c>
      <c r="C87" s="10">
        <v>84</v>
      </c>
      <c r="D87" s="9">
        <f t="shared" si="17"/>
        <v>0</v>
      </c>
      <c r="E87" s="1">
        <f t="shared" si="18"/>
        <v>1</v>
      </c>
      <c r="F87" s="1">
        <f t="shared" si="19"/>
        <v>0</v>
      </c>
      <c r="G87" s="1">
        <f t="shared" si="20"/>
        <v>1</v>
      </c>
      <c r="H87" s="1">
        <f t="shared" si="21"/>
        <v>0</v>
      </c>
      <c r="I87" s="1">
        <f t="shared" si="22"/>
        <v>1</v>
      </c>
      <c r="J87" s="1">
        <f t="shared" si="23"/>
        <v>0</v>
      </c>
      <c r="K87" s="10">
        <f t="shared" si="24"/>
        <v>0</v>
      </c>
      <c r="L87" s="1">
        <v>0</v>
      </c>
      <c r="M87" s="17" t="s">
        <v>73</v>
      </c>
      <c r="N87" t="s">
        <v>54</v>
      </c>
      <c r="O87" s="1">
        <v>1</v>
      </c>
      <c r="P87" s="17" t="s">
        <v>73</v>
      </c>
    </row>
    <row r="88" spans="1:17" x14ac:dyDescent="0.3">
      <c r="A88" s="1" t="str">
        <f>_xlfn.CONCAT("0b",D88:G88, " ", Table2[[#This Row],[D3]:[D0]])</f>
        <v>0b0101 0101</v>
      </c>
      <c r="B88" s="1" t="str">
        <f t="shared" si="16"/>
        <v>0x55</v>
      </c>
      <c r="C88" s="10">
        <v>85</v>
      </c>
      <c r="D88" s="9">
        <f t="shared" si="17"/>
        <v>0</v>
      </c>
      <c r="E88" s="1">
        <f t="shared" si="18"/>
        <v>1</v>
      </c>
      <c r="F88" s="1">
        <f t="shared" si="19"/>
        <v>0</v>
      </c>
      <c r="G88" s="1">
        <f t="shared" si="20"/>
        <v>1</v>
      </c>
      <c r="H88" s="1">
        <f t="shared" si="21"/>
        <v>0</v>
      </c>
      <c r="I88" s="1">
        <f t="shared" si="22"/>
        <v>1</v>
      </c>
      <c r="J88" s="1">
        <f t="shared" si="23"/>
        <v>0</v>
      </c>
      <c r="K88" s="10">
        <f t="shared" si="24"/>
        <v>1</v>
      </c>
      <c r="L88" s="1">
        <v>0</v>
      </c>
      <c r="M88" s="17" t="s">
        <v>74</v>
      </c>
      <c r="N88" t="s">
        <v>54</v>
      </c>
      <c r="O88" s="1">
        <v>1</v>
      </c>
      <c r="P88" s="17" t="str" cm="1">
        <f t="array" ref="P88:P93">P72:P77</f>
        <v>U</v>
      </c>
    </row>
    <row r="89" spans="1:17" x14ac:dyDescent="0.3">
      <c r="A89" s="1" t="str">
        <f>_xlfn.CONCAT("0b",D89:G89, " ", Table2[[#This Row],[D3]:[D0]])</f>
        <v>0b0101 0110</v>
      </c>
      <c r="B89" s="1" t="str">
        <f t="shared" si="16"/>
        <v>0x56</v>
      </c>
      <c r="C89" s="10">
        <v>86</v>
      </c>
      <c r="D89" s="9">
        <f t="shared" si="17"/>
        <v>0</v>
      </c>
      <c r="E89" s="1">
        <f t="shared" si="18"/>
        <v>1</v>
      </c>
      <c r="F89" s="1">
        <f t="shared" si="19"/>
        <v>0</v>
      </c>
      <c r="G89" s="1">
        <f t="shared" si="20"/>
        <v>1</v>
      </c>
      <c r="H89" s="1">
        <f t="shared" si="21"/>
        <v>0</v>
      </c>
      <c r="I89" s="1">
        <f t="shared" si="22"/>
        <v>1</v>
      </c>
      <c r="J89" s="1">
        <f t="shared" si="23"/>
        <v>1</v>
      </c>
      <c r="K89" s="10">
        <f t="shared" si="24"/>
        <v>0</v>
      </c>
      <c r="L89" s="1">
        <v>0</v>
      </c>
      <c r="M89" s="17" t="s">
        <v>75</v>
      </c>
      <c r="N89" t="s">
        <v>54</v>
      </c>
      <c r="O89" s="1">
        <v>1</v>
      </c>
      <c r="P89" s="17" t="str">
        <v>V</v>
      </c>
    </row>
    <row r="90" spans="1:17" x14ac:dyDescent="0.3">
      <c r="A90" s="1" t="str">
        <f>_xlfn.CONCAT("0b",D90:G90, " ", Table2[[#This Row],[D3]:[D0]])</f>
        <v>0b0101 0111</v>
      </c>
      <c r="B90" s="1" t="str">
        <f t="shared" si="16"/>
        <v>0x57</v>
      </c>
      <c r="C90" s="10">
        <v>87</v>
      </c>
      <c r="D90" s="9">
        <f t="shared" si="17"/>
        <v>0</v>
      </c>
      <c r="E90" s="1">
        <f t="shared" si="18"/>
        <v>1</v>
      </c>
      <c r="F90" s="1">
        <f t="shared" si="19"/>
        <v>0</v>
      </c>
      <c r="G90" s="1">
        <f t="shared" si="20"/>
        <v>1</v>
      </c>
      <c r="H90" s="1">
        <f t="shared" si="21"/>
        <v>0</v>
      </c>
      <c r="I90" s="1">
        <f t="shared" si="22"/>
        <v>1</v>
      </c>
      <c r="J90" s="1">
        <f t="shared" si="23"/>
        <v>1</v>
      </c>
      <c r="K90" s="10">
        <f t="shared" si="24"/>
        <v>1</v>
      </c>
      <c r="L90" s="1">
        <v>0</v>
      </c>
      <c r="M90" s="17" t="s">
        <v>76</v>
      </c>
      <c r="N90" t="s">
        <v>54</v>
      </c>
      <c r="O90" s="1">
        <v>1</v>
      </c>
      <c r="P90" s="17" t="str">
        <v>W</v>
      </c>
    </row>
    <row r="91" spans="1:17" x14ac:dyDescent="0.3">
      <c r="A91" s="1" t="str">
        <f>_xlfn.CONCAT("0b",D91:G91, " ", Table2[[#This Row],[D3]:[D0]])</f>
        <v>0b0101 1000</v>
      </c>
      <c r="B91" s="1" t="str">
        <f t="shared" si="16"/>
        <v>0x58</v>
      </c>
      <c r="C91" s="10">
        <v>88</v>
      </c>
      <c r="D91" s="9">
        <f t="shared" si="17"/>
        <v>0</v>
      </c>
      <c r="E91" s="1">
        <f t="shared" si="18"/>
        <v>1</v>
      </c>
      <c r="F91" s="1">
        <f t="shared" si="19"/>
        <v>0</v>
      </c>
      <c r="G91" s="1">
        <f t="shared" si="20"/>
        <v>1</v>
      </c>
      <c r="H91" s="1">
        <f t="shared" si="21"/>
        <v>1</v>
      </c>
      <c r="I91" s="1">
        <f t="shared" si="22"/>
        <v>0</v>
      </c>
      <c r="J91" s="1">
        <f t="shared" si="23"/>
        <v>0</v>
      </c>
      <c r="K91" s="10">
        <f t="shared" si="24"/>
        <v>0</v>
      </c>
      <c r="L91" s="1">
        <v>0</v>
      </c>
      <c r="M91" s="17" t="s">
        <v>19</v>
      </c>
      <c r="N91" t="s">
        <v>54</v>
      </c>
      <c r="O91" s="1">
        <v>1</v>
      </c>
      <c r="P91" s="17" t="str">
        <v>X</v>
      </c>
    </row>
    <row r="92" spans="1:17" x14ac:dyDescent="0.3">
      <c r="A92" s="1" t="str">
        <f>_xlfn.CONCAT("0b",D92:G92, " ", Table2[[#This Row],[D3]:[D0]])</f>
        <v>0b0101 1001</v>
      </c>
      <c r="B92" s="1" t="str">
        <f t="shared" si="16"/>
        <v>0x59</v>
      </c>
      <c r="C92" s="10">
        <v>89</v>
      </c>
      <c r="D92" s="9">
        <f t="shared" si="17"/>
        <v>0</v>
      </c>
      <c r="E92" s="1">
        <f t="shared" si="18"/>
        <v>1</v>
      </c>
      <c r="F92" s="1">
        <f t="shared" si="19"/>
        <v>0</v>
      </c>
      <c r="G92" s="1">
        <f t="shared" si="20"/>
        <v>1</v>
      </c>
      <c r="H92" s="1">
        <f t="shared" si="21"/>
        <v>1</v>
      </c>
      <c r="I92" s="1">
        <f t="shared" si="22"/>
        <v>0</v>
      </c>
      <c r="J92" s="1">
        <f t="shared" si="23"/>
        <v>0</v>
      </c>
      <c r="K92" s="10">
        <f t="shared" si="24"/>
        <v>1</v>
      </c>
      <c r="L92" s="1">
        <v>0</v>
      </c>
      <c r="M92" s="17" t="s">
        <v>77</v>
      </c>
      <c r="N92" t="s">
        <v>54</v>
      </c>
      <c r="O92" s="1">
        <v>1</v>
      </c>
      <c r="P92" s="17" t="str">
        <v>Y</v>
      </c>
    </row>
    <row r="93" spans="1:17" x14ac:dyDescent="0.3">
      <c r="A93" s="1" t="str">
        <f>_xlfn.CONCAT("0b",D93:G93, " ", Table2[[#This Row],[D3]:[D0]])</f>
        <v>0b0101 1010</v>
      </c>
      <c r="B93" s="1" t="str">
        <f t="shared" si="16"/>
        <v>0x5A</v>
      </c>
      <c r="C93" s="10">
        <v>90</v>
      </c>
      <c r="D93" s="9">
        <f t="shared" si="17"/>
        <v>0</v>
      </c>
      <c r="E93" s="1">
        <f t="shared" si="18"/>
        <v>1</v>
      </c>
      <c r="F93" s="1">
        <f t="shared" si="19"/>
        <v>0</v>
      </c>
      <c r="G93" s="1">
        <f t="shared" si="20"/>
        <v>1</v>
      </c>
      <c r="H93" s="1">
        <f t="shared" si="21"/>
        <v>1</v>
      </c>
      <c r="I93" s="1">
        <f t="shared" si="22"/>
        <v>0</v>
      </c>
      <c r="J93" s="1">
        <f t="shared" si="23"/>
        <v>1</v>
      </c>
      <c r="K93" s="10">
        <f t="shared" si="24"/>
        <v>0</v>
      </c>
      <c r="L93" s="1">
        <v>0</v>
      </c>
      <c r="M93" s="17" t="s">
        <v>78</v>
      </c>
      <c r="N93" t="s">
        <v>54</v>
      </c>
      <c r="O93" s="1">
        <v>1</v>
      </c>
      <c r="P93" s="17" t="str">
        <v>Z</v>
      </c>
    </row>
    <row r="94" spans="1:17" x14ac:dyDescent="0.3">
      <c r="A94" s="1" t="str">
        <f>_xlfn.CONCAT("0b",D94:G94, " ", Table2[[#This Row],[D3]:[D0]])</f>
        <v>0b0101 1011</v>
      </c>
      <c r="B94" s="1" t="str">
        <f t="shared" si="16"/>
        <v>0x5B</v>
      </c>
      <c r="C94" s="10">
        <v>91</v>
      </c>
      <c r="D94" s="9">
        <f t="shared" si="17"/>
        <v>0</v>
      </c>
      <c r="E94" s="1">
        <f t="shared" si="18"/>
        <v>1</v>
      </c>
      <c r="F94" s="1">
        <f t="shared" si="19"/>
        <v>0</v>
      </c>
      <c r="G94" s="1">
        <f t="shared" si="20"/>
        <v>1</v>
      </c>
      <c r="H94" s="1">
        <f t="shared" si="21"/>
        <v>1</v>
      </c>
      <c r="I94" s="1">
        <f t="shared" si="22"/>
        <v>0</v>
      </c>
      <c r="J94" s="1">
        <f t="shared" si="23"/>
        <v>1</v>
      </c>
      <c r="K94" s="10">
        <f t="shared" si="24"/>
        <v>1</v>
      </c>
      <c r="L94" s="1">
        <v>0</v>
      </c>
      <c r="M94" s="17" t="s">
        <v>79</v>
      </c>
      <c r="N94" t="s">
        <v>80</v>
      </c>
      <c r="O94" s="1">
        <v>1</v>
      </c>
    </row>
    <row r="95" spans="1:17" x14ac:dyDescent="0.3">
      <c r="A95" s="1" t="str">
        <f>_xlfn.CONCAT("0b",D95:G95, " ", Table2[[#This Row],[D3]:[D0]])</f>
        <v>0b0101 1100</v>
      </c>
      <c r="B95" s="1" t="str">
        <f t="shared" si="16"/>
        <v>0x5C</v>
      </c>
      <c r="C95" s="10">
        <v>92</v>
      </c>
      <c r="D95" s="9">
        <f t="shared" si="17"/>
        <v>0</v>
      </c>
      <c r="E95" s="1">
        <f t="shared" si="18"/>
        <v>1</v>
      </c>
      <c r="F95" s="1">
        <f t="shared" si="19"/>
        <v>0</v>
      </c>
      <c r="G95" s="1">
        <f t="shared" si="20"/>
        <v>1</v>
      </c>
      <c r="H95" s="1">
        <f t="shared" si="21"/>
        <v>1</v>
      </c>
      <c r="I95" s="1">
        <f t="shared" si="22"/>
        <v>1</v>
      </c>
      <c r="J95" s="1">
        <f t="shared" si="23"/>
        <v>0</v>
      </c>
      <c r="K95" s="10">
        <f t="shared" si="24"/>
        <v>0</v>
      </c>
      <c r="L95" s="1">
        <v>0</v>
      </c>
      <c r="M95" s="17" t="s">
        <v>81</v>
      </c>
      <c r="N95" t="s">
        <v>34</v>
      </c>
      <c r="O95" s="1">
        <v>1</v>
      </c>
    </row>
    <row r="96" spans="1:17" x14ac:dyDescent="0.3">
      <c r="A96" s="1" t="str">
        <f>_xlfn.CONCAT("0b",D96:G96, " ", Table2[[#This Row],[D3]:[D0]])</f>
        <v>0b0101 1101</v>
      </c>
      <c r="B96" s="1" t="str">
        <f t="shared" si="16"/>
        <v>0x5D</v>
      </c>
      <c r="C96" s="10">
        <v>93</v>
      </c>
      <c r="D96" s="9">
        <f t="shared" si="17"/>
        <v>0</v>
      </c>
      <c r="E96" s="1">
        <f t="shared" si="18"/>
        <v>1</v>
      </c>
      <c r="F96" s="1">
        <f t="shared" si="19"/>
        <v>0</v>
      </c>
      <c r="G96" s="1">
        <f t="shared" si="20"/>
        <v>1</v>
      </c>
      <c r="H96" s="1">
        <f t="shared" si="21"/>
        <v>1</v>
      </c>
      <c r="I96" s="1">
        <f t="shared" si="22"/>
        <v>1</v>
      </c>
      <c r="J96" s="1">
        <f t="shared" si="23"/>
        <v>0</v>
      </c>
      <c r="K96" s="10">
        <f t="shared" si="24"/>
        <v>1</v>
      </c>
      <c r="L96" s="1">
        <v>0</v>
      </c>
      <c r="M96" s="17" t="s">
        <v>82</v>
      </c>
      <c r="N96" t="s">
        <v>34</v>
      </c>
      <c r="O96" s="1">
        <v>1</v>
      </c>
    </row>
    <row r="97" spans="1:15" x14ac:dyDescent="0.3">
      <c r="A97" s="1" t="str">
        <f>_xlfn.CONCAT("0b",D97:G97, " ", Table2[[#This Row],[D3]:[D0]])</f>
        <v>0b0101 1110</v>
      </c>
      <c r="B97" s="1" t="str">
        <f t="shared" si="16"/>
        <v>0x5E</v>
      </c>
      <c r="C97" s="10">
        <v>94</v>
      </c>
      <c r="D97" s="9">
        <f t="shared" si="17"/>
        <v>0</v>
      </c>
      <c r="E97" s="1">
        <f t="shared" si="18"/>
        <v>1</v>
      </c>
      <c r="F97" s="1">
        <f t="shared" si="19"/>
        <v>0</v>
      </c>
      <c r="G97" s="1">
        <f t="shared" si="20"/>
        <v>1</v>
      </c>
      <c r="H97" s="1">
        <f t="shared" si="21"/>
        <v>1</v>
      </c>
      <c r="I97" s="1">
        <f t="shared" si="22"/>
        <v>1</v>
      </c>
      <c r="J97" s="1">
        <f t="shared" si="23"/>
        <v>1</v>
      </c>
      <c r="K97" s="10">
        <f t="shared" si="24"/>
        <v>0</v>
      </c>
      <c r="L97" s="1">
        <v>0</v>
      </c>
      <c r="M97" s="17" t="s">
        <v>83</v>
      </c>
      <c r="N97" t="s">
        <v>34</v>
      </c>
      <c r="O97" s="1">
        <v>1</v>
      </c>
    </row>
    <row r="98" spans="1:15" x14ac:dyDescent="0.3">
      <c r="A98" s="1" t="str">
        <f>_xlfn.CONCAT("0b",D98:G98, " ", Table2[[#This Row],[D3]:[D0]])</f>
        <v>0b0101 1111</v>
      </c>
      <c r="B98" s="1" t="str">
        <f t="shared" si="16"/>
        <v>0x5F</v>
      </c>
      <c r="C98" s="10">
        <v>95</v>
      </c>
      <c r="D98" s="9">
        <f t="shared" si="17"/>
        <v>0</v>
      </c>
      <c r="E98" s="1">
        <f t="shared" si="18"/>
        <v>1</v>
      </c>
      <c r="F98" s="1">
        <f t="shared" si="19"/>
        <v>0</v>
      </c>
      <c r="G98" s="1">
        <f t="shared" si="20"/>
        <v>1</v>
      </c>
      <c r="H98" s="1">
        <f t="shared" si="21"/>
        <v>1</v>
      </c>
      <c r="I98" s="1">
        <f t="shared" si="22"/>
        <v>1</v>
      </c>
      <c r="J98" s="1">
        <f t="shared" si="23"/>
        <v>1</v>
      </c>
      <c r="K98" s="10">
        <f t="shared" si="24"/>
        <v>1</v>
      </c>
      <c r="L98" s="1">
        <v>0</v>
      </c>
      <c r="M98" s="17" t="s">
        <v>84</v>
      </c>
      <c r="N98" t="s">
        <v>34</v>
      </c>
      <c r="O98" s="1">
        <v>1</v>
      </c>
    </row>
    <row r="99" spans="1:15" x14ac:dyDescent="0.3">
      <c r="A99" s="1" t="str">
        <f>_xlfn.CONCAT("0b",D99:G99, " ", Table2[[#This Row],[D3]:[D0]])</f>
        <v>0b0110 0000</v>
      </c>
      <c r="B99" s="1" t="str">
        <f t="shared" si="16"/>
        <v>0x60</v>
      </c>
      <c r="C99" s="10">
        <v>96</v>
      </c>
      <c r="D99" s="9">
        <f t="shared" si="17"/>
        <v>0</v>
      </c>
      <c r="E99" s="1">
        <f t="shared" si="18"/>
        <v>1</v>
      </c>
      <c r="F99" s="1">
        <f t="shared" si="19"/>
        <v>1</v>
      </c>
      <c r="G99" s="1">
        <f t="shared" si="20"/>
        <v>0</v>
      </c>
      <c r="H99" s="1">
        <f t="shared" si="21"/>
        <v>0</v>
      </c>
      <c r="I99" s="1">
        <f t="shared" si="22"/>
        <v>0</v>
      </c>
      <c r="J99" s="1">
        <f t="shared" si="23"/>
        <v>0</v>
      </c>
      <c r="K99" s="10">
        <f t="shared" si="24"/>
        <v>0</v>
      </c>
      <c r="L99" s="1">
        <v>0</v>
      </c>
      <c r="M99" s="17" t="s">
        <v>85</v>
      </c>
      <c r="N99" t="s">
        <v>34</v>
      </c>
      <c r="O99" s="1">
        <v>1</v>
      </c>
    </row>
    <row r="100" spans="1:15" x14ac:dyDescent="0.3">
      <c r="A100" s="1" t="str">
        <f>_xlfn.CONCAT("0b",D100:G100, " ", Table2[[#This Row],[D3]:[D0]])</f>
        <v>0b0110 0001</v>
      </c>
      <c r="B100" s="1" t="str">
        <f t="shared" si="16"/>
        <v>0x61</v>
      </c>
      <c r="C100" s="10">
        <v>97</v>
      </c>
      <c r="D100" s="9">
        <f t="shared" si="17"/>
        <v>0</v>
      </c>
      <c r="E100" s="1">
        <f t="shared" si="18"/>
        <v>1</v>
      </c>
      <c r="F100" s="1">
        <f t="shared" si="19"/>
        <v>1</v>
      </c>
      <c r="G100" s="1">
        <f t="shared" si="20"/>
        <v>0</v>
      </c>
      <c r="H100" s="1">
        <f t="shared" si="21"/>
        <v>0</v>
      </c>
      <c r="I100" s="1">
        <f t="shared" si="22"/>
        <v>0</v>
      </c>
      <c r="J100" s="1">
        <f t="shared" si="23"/>
        <v>0</v>
      </c>
      <c r="K100" s="10">
        <f t="shared" si="24"/>
        <v>1</v>
      </c>
      <c r="L100" s="1">
        <v>0</v>
      </c>
      <c r="M100" s="17" t="s">
        <v>53</v>
      </c>
      <c r="N100" t="s">
        <v>86</v>
      </c>
      <c r="O100" s="1">
        <v>1</v>
      </c>
    </row>
    <row r="101" spans="1:15" x14ac:dyDescent="0.3">
      <c r="A101" s="1" t="str">
        <f>_xlfn.CONCAT("0b",D101:G101, " ", Table2[[#This Row],[D3]:[D0]])</f>
        <v>0b0110 0010</v>
      </c>
      <c r="B101" s="1" t="str">
        <f t="shared" si="16"/>
        <v>0x62</v>
      </c>
      <c r="C101" s="10">
        <v>98</v>
      </c>
      <c r="D101" s="9">
        <f t="shared" si="17"/>
        <v>0</v>
      </c>
      <c r="E101" s="1">
        <f t="shared" si="18"/>
        <v>1</v>
      </c>
      <c r="F101" s="1">
        <f t="shared" si="19"/>
        <v>1</v>
      </c>
      <c r="G101" s="1">
        <f t="shared" si="20"/>
        <v>0</v>
      </c>
      <c r="H101" s="1">
        <f t="shared" si="21"/>
        <v>0</v>
      </c>
      <c r="I101" s="1">
        <f t="shared" si="22"/>
        <v>0</v>
      </c>
      <c r="J101" s="1">
        <f t="shared" si="23"/>
        <v>1</v>
      </c>
      <c r="K101" s="10">
        <f t="shared" si="24"/>
        <v>0</v>
      </c>
      <c r="L101" s="1">
        <v>0</v>
      </c>
      <c r="M101" s="17" t="s">
        <v>55</v>
      </c>
      <c r="N101" t="s">
        <v>86</v>
      </c>
      <c r="O101" s="1">
        <v>1</v>
      </c>
    </row>
    <row r="102" spans="1:15" x14ac:dyDescent="0.3">
      <c r="A102" s="1" t="str">
        <f>_xlfn.CONCAT("0b",D102:G102, " ", Table2[[#This Row],[D3]:[D0]])</f>
        <v>0b0110 0011</v>
      </c>
      <c r="B102" s="1" t="str">
        <f t="shared" si="16"/>
        <v>0x63</v>
      </c>
      <c r="C102" s="10">
        <v>99</v>
      </c>
      <c r="D102" s="9">
        <f t="shared" si="17"/>
        <v>0</v>
      </c>
      <c r="E102" s="1">
        <f t="shared" si="18"/>
        <v>1</v>
      </c>
      <c r="F102" s="1">
        <f t="shared" si="19"/>
        <v>1</v>
      </c>
      <c r="G102" s="1">
        <f t="shared" si="20"/>
        <v>0</v>
      </c>
      <c r="H102" s="1">
        <f t="shared" si="21"/>
        <v>0</v>
      </c>
      <c r="I102" s="1">
        <f t="shared" si="22"/>
        <v>0</v>
      </c>
      <c r="J102" s="1">
        <f t="shared" si="23"/>
        <v>1</v>
      </c>
      <c r="K102" s="10">
        <f t="shared" si="24"/>
        <v>1</v>
      </c>
      <c r="L102" s="1">
        <v>0</v>
      </c>
      <c r="M102" s="17" t="s">
        <v>56</v>
      </c>
      <c r="N102" t="s">
        <v>86</v>
      </c>
      <c r="O102" s="1">
        <v>1</v>
      </c>
    </row>
    <row r="103" spans="1:15" x14ac:dyDescent="0.3">
      <c r="A103" s="1" t="str">
        <f>_xlfn.CONCAT("0b",D103:G103, " ", Table2[[#This Row],[D3]:[D0]])</f>
        <v>0b0110 0100</v>
      </c>
      <c r="B103" s="1" t="str">
        <f t="shared" si="16"/>
        <v>0x64</v>
      </c>
      <c r="C103" s="10">
        <v>100</v>
      </c>
      <c r="D103" s="9">
        <f t="shared" si="17"/>
        <v>0</v>
      </c>
      <c r="E103" s="1">
        <f t="shared" si="18"/>
        <v>1</v>
      </c>
      <c r="F103" s="1">
        <f t="shared" si="19"/>
        <v>1</v>
      </c>
      <c r="G103" s="1">
        <f t="shared" si="20"/>
        <v>0</v>
      </c>
      <c r="H103" s="1">
        <f t="shared" si="21"/>
        <v>0</v>
      </c>
      <c r="I103" s="1">
        <f t="shared" si="22"/>
        <v>1</v>
      </c>
      <c r="J103" s="1">
        <f t="shared" si="23"/>
        <v>0</v>
      </c>
      <c r="K103" s="10">
        <f t="shared" si="24"/>
        <v>0</v>
      </c>
      <c r="L103" s="1">
        <v>0</v>
      </c>
      <c r="M103" s="17" t="s">
        <v>57</v>
      </c>
      <c r="N103" t="s">
        <v>86</v>
      </c>
      <c r="O103" s="1">
        <v>1</v>
      </c>
    </row>
    <row r="104" spans="1:15" x14ac:dyDescent="0.3">
      <c r="A104" s="1" t="str">
        <f>_xlfn.CONCAT("0b",D104:G104, " ", Table2[[#This Row],[D3]:[D0]])</f>
        <v>0b0110 0101</v>
      </c>
      <c r="B104" s="1" t="str">
        <f t="shared" si="16"/>
        <v>0x65</v>
      </c>
      <c r="C104" s="10">
        <v>101</v>
      </c>
      <c r="D104" s="9">
        <f t="shared" si="17"/>
        <v>0</v>
      </c>
      <c r="E104" s="1">
        <f t="shared" si="18"/>
        <v>1</v>
      </c>
      <c r="F104" s="1">
        <f t="shared" si="19"/>
        <v>1</v>
      </c>
      <c r="G104" s="1">
        <f t="shared" si="20"/>
        <v>0</v>
      </c>
      <c r="H104" s="1">
        <f t="shared" si="21"/>
        <v>0</v>
      </c>
      <c r="I104" s="1">
        <f t="shared" si="22"/>
        <v>1</v>
      </c>
      <c r="J104" s="1">
        <f t="shared" si="23"/>
        <v>0</v>
      </c>
      <c r="K104" s="10">
        <f t="shared" si="24"/>
        <v>1</v>
      </c>
      <c r="L104" s="1">
        <v>0</v>
      </c>
      <c r="M104" s="17" t="s">
        <v>58</v>
      </c>
      <c r="N104" t="s">
        <v>86</v>
      </c>
      <c r="O104" s="1">
        <v>1</v>
      </c>
    </row>
    <row r="105" spans="1:15" x14ac:dyDescent="0.3">
      <c r="A105" s="1" t="str">
        <f>_xlfn.CONCAT("0b",D105:G105, " ", Table2[[#This Row],[D3]:[D0]])</f>
        <v>0b0110 0110</v>
      </c>
      <c r="B105" s="1" t="str">
        <f t="shared" si="16"/>
        <v>0x66</v>
      </c>
      <c r="C105" s="10">
        <v>102</v>
      </c>
      <c r="D105" s="9">
        <f t="shared" si="17"/>
        <v>0</v>
      </c>
      <c r="E105" s="1">
        <f t="shared" si="18"/>
        <v>1</v>
      </c>
      <c r="F105" s="1">
        <f t="shared" si="19"/>
        <v>1</v>
      </c>
      <c r="G105" s="1">
        <f t="shared" si="20"/>
        <v>0</v>
      </c>
      <c r="H105" s="1">
        <f t="shared" si="21"/>
        <v>0</v>
      </c>
      <c r="I105" s="1">
        <f t="shared" si="22"/>
        <v>1</v>
      </c>
      <c r="J105" s="1">
        <f t="shared" si="23"/>
        <v>1</v>
      </c>
      <c r="K105" s="10">
        <f t="shared" si="24"/>
        <v>0</v>
      </c>
      <c r="L105" s="1">
        <v>0</v>
      </c>
      <c r="M105" s="17" t="s">
        <v>59</v>
      </c>
      <c r="N105" t="s">
        <v>86</v>
      </c>
      <c r="O105" s="1">
        <v>1</v>
      </c>
    </row>
    <row r="106" spans="1:15" x14ac:dyDescent="0.3">
      <c r="A106" s="1" t="str">
        <f>_xlfn.CONCAT("0b",D106:G106, " ", Table2[[#This Row],[D3]:[D0]])</f>
        <v>0b0110 0111</v>
      </c>
      <c r="B106" s="1" t="str">
        <f t="shared" si="16"/>
        <v>0x67</v>
      </c>
      <c r="C106" s="10">
        <v>103</v>
      </c>
      <c r="D106" s="9">
        <f t="shared" si="17"/>
        <v>0</v>
      </c>
      <c r="E106" s="1">
        <f t="shared" si="18"/>
        <v>1</v>
      </c>
      <c r="F106" s="1">
        <f t="shared" si="19"/>
        <v>1</v>
      </c>
      <c r="G106" s="1">
        <f t="shared" si="20"/>
        <v>0</v>
      </c>
      <c r="H106" s="1">
        <f t="shared" si="21"/>
        <v>0</v>
      </c>
      <c r="I106" s="1">
        <f t="shared" si="22"/>
        <v>1</v>
      </c>
      <c r="J106" s="1">
        <f t="shared" si="23"/>
        <v>1</v>
      </c>
      <c r="K106" s="10">
        <f t="shared" si="24"/>
        <v>1</v>
      </c>
      <c r="L106" s="1">
        <v>0</v>
      </c>
      <c r="M106" s="17" t="s">
        <v>60</v>
      </c>
      <c r="N106" t="s">
        <v>86</v>
      </c>
      <c r="O106" s="1">
        <v>1</v>
      </c>
    </row>
    <row r="107" spans="1:15" x14ac:dyDescent="0.3">
      <c r="A107" s="1" t="str">
        <f>_xlfn.CONCAT("0b",D107:G107, " ", Table2[[#This Row],[D3]:[D0]])</f>
        <v>0b0110 1000</v>
      </c>
      <c r="B107" s="1" t="str">
        <f t="shared" si="16"/>
        <v>0x68</v>
      </c>
      <c r="C107" s="10">
        <v>104</v>
      </c>
      <c r="D107" s="9">
        <f t="shared" si="17"/>
        <v>0</v>
      </c>
      <c r="E107" s="1">
        <f t="shared" si="18"/>
        <v>1</v>
      </c>
      <c r="F107" s="1">
        <f t="shared" si="19"/>
        <v>1</v>
      </c>
      <c r="G107" s="1">
        <f t="shared" si="20"/>
        <v>0</v>
      </c>
      <c r="H107" s="1">
        <f t="shared" si="21"/>
        <v>1</v>
      </c>
      <c r="I107" s="1">
        <f t="shared" si="22"/>
        <v>0</v>
      </c>
      <c r="J107" s="1">
        <f t="shared" si="23"/>
        <v>0</v>
      </c>
      <c r="K107" s="10">
        <f t="shared" si="24"/>
        <v>0</v>
      </c>
      <c r="L107" s="1">
        <v>0</v>
      </c>
      <c r="M107" s="17" t="s">
        <v>61</v>
      </c>
      <c r="N107" t="s">
        <v>86</v>
      </c>
      <c r="O107" s="1">
        <v>1</v>
      </c>
    </row>
    <row r="108" spans="1:15" x14ac:dyDescent="0.3">
      <c r="A108" s="1" t="str">
        <f>_xlfn.CONCAT("0b",D108:G108, " ", Table2[[#This Row],[D3]:[D0]])</f>
        <v>0b0110 1001</v>
      </c>
      <c r="B108" s="1" t="str">
        <f t="shared" si="16"/>
        <v>0x69</v>
      </c>
      <c r="C108" s="10">
        <v>105</v>
      </c>
      <c r="D108" s="9">
        <f t="shared" si="17"/>
        <v>0</v>
      </c>
      <c r="E108" s="1">
        <f t="shared" si="18"/>
        <v>1</v>
      </c>
      <c r="F108" s="1">
        <f t="shared" si="19"/>
        <v>1</v>
      </c>
      <c r="G108" s="1">
        <f t="shared" si="20"/>
        <v>0</v>
      </c>
      <c r="H108" s="1">
        <f t="shared" si="21"/>
        <v>1</v>
      </c>
      <c r="I108" s="1">
        <f t="shared" si="22"/>
        <v>0</v>
      </c>
      <c r="J108" s="1">
        <f t="shared" si="23"/>
        <v>0</v>
      </c>
      <c r="K108" s="10">
        <f t="shared" si="24"/>
        <v>1</v>
      </c>
      <c r="L108" s="1">
        <v>0</v>
      </c>
      <c r="M108" s="17" t="s">
        <v>62</v>
      </c>
      <c r="N108" t="s">
        <v>86</v>
      </c>
      <c r="O108" s="1">
        <v>1</v>
      </c>
    </row>
    <row r="109" spans="1:15" x14ac:dyDescent="0.3">
      <c r="A109" s="1" t="str">
        <f>_xlfn.CONCAT("0b",D109:G109, " ", Table2[[#This Row],[D3]:[D0]])</f>
        <v>0b0110 1010</v>
      </c>
      <c r="B109" s="1" t="str">
        <f t="shared" si="16"/>
        <v>0x6A</v>
      </c>
      <c r="C109" s="10">
        <v>106</v>
      </c>
      <c r="D109" s="9">
        <f t="shared" si="17"/>
        <v>0</v>
      </c>
      <c r="E109" s="1">
        <f t="shared" si="18"/>
        <v>1</v>
      </c>
      <c r="F109" s="1">
        <f t="shared" si="19"/>
        <v>1</v>
      </c>
      <c r="G109" s="1">
        <f t="shared" si="20"/>
        <v>0</v>
      </c>
      <c r="H109" s="1">
        <f t="shared" si="21"/>
        <v>1</v>
      </c>
      <c r="I109" s="1">
        <f t="shared" si="22"/>
        <v>0</v>
      </c>
      <c r="J109" s="1">
        <f t="shared" si="23"/>
        <v>1</v>
      </c>
      <c r="K109" s="10">
        <f t="shared" si="24"/>
        <v>0</v>
      </c>
      <c r="L109" s="1">
        <v>0</v>
      </c>
      <c r="M109" s="17" t="s">
        <v>63</v>
      </c>
      <c r="N109" t="s">
        <v>86</v>
      </c>
      <c r="O109" s="1">
        <v>1</v>
      </c>
    </row>
    <row r="110" spans="1:15" x14ac:dyDescent="0.3">
      <c r="A110" s="1" t="str">
        <f>_xlfn.CONCAT("0b",D110:G110, " ", Table2[[#This Row],[D3]:[D0]])</f>
        <v>0b0110 1011</v>
      </c>
      <c r="B110" s="1" t="str">
        <f t="shared" si="16"/>
        <v>0x6B</v>
      </c>
      <c r="C110" s="10">
        <v>107</v>
      </c>
      <c r="D110" s="9">
        <f t="shared" si="17"/>
        <v>0</v>
      </c>
      <c r="E110" s="1">
        <f t="shared" si="18"/>
        <v>1</v>
      </c>
      <c r="F110" s="1">
        <f t="shared" si="19"/>
        <v>1</v>
      </c>
      <c r="G110" s="1">
        <f t="shared" si="20"/>
        <v>0</v>
      </c>
      <c r="H110" s="1">
        <f t="shared" si="21"/>
        <v>1</v>
      </c>
      <c r="I110" s="1">
        <f t="shared" si="22"/>
        <v>0</v>
      </c>
      <c r="J110" s="1">
        <f t="shared" si="23"/>
        <v>1</v>
      </c>
      <c r="K110" s="10">
        <f t="shared" si="24"/>
        <v>1</v>
      </c>
      <c r="L110" s="1">
        <v>0</v>
      </c>
      <c r="M110" s="17" t="s">
        <v>64</v>
      </c>
      <c r="N110" t="s">
        <v>86</v>
      </c>
      <c r="O110" s="1">
        <v>1</v>
      </c>
    </row>
    <row r="111" spans="1:15" x14ac:dyDescent="0.3">
      <c r="A111" s="1" t="str">
        <f>_xlfn.CONCAT("0b",D111:G111, " ", Table2[[#This Row],[D3]:[D0]])</f>
        <v>0b0110 1100</v>
      </c>
      <c r="B111" s="1" t="str">
        <f t="shared" si="16"/>
        <v>0x6C</v>
      </c>
      <c r="C111" s="10">
        <v>108</v>
      </c>
      <c r="D111" s="9">
        <f t="shared" si="17"/>
        <v>0</v>
      </c>
      <c r="E111" s="1">
        <f t="shared" si="18"/>
        <v>1</v>
      </c>
      <c r="F111" s="1">
        <f t="shared" si="19"/>
        <v>1</v>
      </c>
      <c r="G111" s="1">
        <f t="shared" si="20"/>
        <v>0</v>
      </c>
      <c r="H111" s="1">
        <f t="shared" si="21"/>
        <v>1</v>
      </c>
      <c r="I111" s="1">
        <f t="shared" si="22"/>
        <v>1</v>
      </c>
      <c r="J111" s="1">
        <f t="shared" si="23"/>
        <v>0</v>
      </c>
      <c r="K111" s="10">
        <f t="shared" si="24"/>
        <v>0</v>
      </c>
      <c r="L111" s="1">
        <v>0</v>
      </c>
      <c r="M111" s="17" t="s">
        <v>65</v>
      </c>
      <c r="N111" t="s">
        <v>86</v>
      </c>
      <c r="O111" s="1">
        <v>1</v>
      </c>
    </row>
    <row r="112" spans="1:15" x14ac:dyDescent="0.3">
      <c r="A112" s="1" t="str">
        <f>_xlfn.CONCAT("0b",D112:G112, " ", Table2[[#This Row],[D3]:[D0]])</f>
        <v>0b0110 1101</v>
      </c>
      <c r="B112" s="1" t="str">
        <f t="shared" si="16"/>
        <v>0x6D</v>
      </c>
      <c r="C112" s="10">
        <v>109</v>
      </c>
      <c r="D112" s="9">
        <f t="shared" si="17"/>
        <v>0</v>
      </c>
      <c r="E112" s="1">
        <f t="shared" si="18"/>
        <v>1</v>
      </c>
      <c r="F112" s="1">
        <f t="shared" si="19"/>
        <v>1</v>
      </c>
      <c r="G112" s="1">
        <f t="shared" si="20"/>
        <v>0</v>
      </c>
      <c r="H112" s="1">
        <f t="shared" si="21"/>
        <v>1</v>
      </c>
      <c r="I112" s="1">
        <f t="shared" si="22"/>
        <v>1</v>
      </c>
      <c r="J112" s="1">
        <f t="shared" si="23"/>
        <v>0</v>
      </c>
      <c r="K112" s="10">
        <f t="shared" si="24"/>
        <v>1</v>
      </c>
      <c r="L112" s="1">
        <v>0</v>
      </c>
      <c r="M112" s="17" t="s">
        <v>66</v>
      </c>
      <c r="N112" t="s">
        <v>86</v>
      </c>
      <c r="O112" s="1">
        <v>1</v>
      </c>
    </row>
    <row r="113" spans="1:15" x14ac:dyDescent="0.3">
      <c r="A113" s="1" t="str">
        <f>_xlfn.CONCAT("0b",D113:G113, " ", Table2[[#This Row],[D3]:[D0]])</f>
        <v>0b0110 1110</v>
      </c>
      <c r="B113" s="1" t="str">
        <f t="shared" si="16"/>
        <v>0x6E</v>
      </c>
      <c r="C113" s="10">
        <v>110</v>
      </c>
      <c r="D113" s="9">
        <f t="shared" si="17"/>
        <v>0</v>
      </c>
      <c r="E113" s="1">
        <f t="shared" si="18"/>
        <v>1</v>
      </c>
      <c r="F113" s="1">
        <f t="shared" si="19"/>
        <v>1</v>
      </c>
      <c r="G113" s="1">
        <f t="shared" si="20"/>
        <v>0</v>
      </c>
      <c r="H113" s="1">
        <f t="shared" si="21"/>
        <v>1</v>
      </c>
      <c r="I113" s="1">
        <f t="shared" si="22"/>
        <v>1</v>
      </c>
      <c r="J113" s="1">
        <f t="shared" si="23"/>
        <v>1</v>
      </c>
      <c r="K113" s="10">
        <f t="shared" si="24"/>
        <v>0</v>
      </c>
      <c r="L113" s="1">
        <v>0</v>
      </c>
      <c r="M113" s="17" t="s">
        <v>67</v>
      </c>
      <c r="N113" t="s">
        <v>86</v>
      </c>
      <c r="O113" s="1">
        <v>1</v>
      </c>
    </row>
    <row r="114" spans="1:15" x14ac:dyDescent="0.3">
      <c r="A114" s="1" t="str">
        <f>_xlfn.CONCAT("0b",D114:G114, " ", Table2[[#This Row],[D3]:[D0]])</f>
        <v>0b0110 1111</v>
      </c>
      <c r="B114" s="1" t="str">
        <f t="shared" si="16"/>
        <v>0x6F</v>
      </c>
      <c r="C114" s="10">
        <v>111</v>
      </c>
      <c r="D114" s="9">
        <f t="shared" si="17"/>
        <v>0</v>
      </c>
      <c r="E114" s="1">
        <f t="shared" si="18"/>
        <v>1</v>
      </c>
      <c r="F114" s="1">
        <f t="shared" si="19"/>
        <v>1</v>
      </c>
      <c r="G114" s="1">
        <f t="shared" si="20"/>
        <v>0</v>
      </c>
      <c r="H114" s="1">
        <f t="shared" si="21"/>
        <v>1</v>
      </c>
      <c r="I114" s="1">
        <f t="shared" si="22"/>
        <v>1</v>
      </c>
      <c r="J114" s="1">
        <f t="shared" si="23"/>
        <v>1</v>
      </c>
      <c r="K114" s="10">
        <f t="shared" si="24"/>
        <v>1</v>
      </c>
      <c r="L114" s="1">
        <v>0</v>
      </c>
      <c r="M114" s="17" t="s">
        <v>68</v>
      </c>
      <c r="N114" t="s">
        <v>86</v>
      </c>
      <c r="O114" s="1">
        <v>1</v>
      </c>
    </row>
    <row r="115" spans="1:15" x14ac:dyDescent="0.3">
      <c r="A115" s="1" t="str">
        <f>_xlfn.CONCAT("0b",D115:G115, " ", Table2[[#This Row],[D3]:[D0]])</f>
        <v>0b0111 0000</v>
      </c>
      <c r="B115" s="1" t="str">
        <f t="shared" si="16"/>
        <v>0x70</v>
      </c>
      <c r="C115" s="10">
        <v>112</v>
      </c>
      <c r="D115" s="9">
        <f t="shared" si="17"/>
        <v>0</v>
      </c>
      <c r="E115" s="1">
        <f t="shared" si="18"/>
        <v>1</v>
      </c>
      <c r="F115" s="1">
        <f t="shared" si="19"/>
        <v>1</v>
      </c>
      <c r="G115" s="1">
        <f t="shared" si="20"/>
        <v>1</v>
      </c>
      <c r="H115" s="1">
        <f t="shared" si="21"/>
        <v>0</v>
      </c>
      <c r="I115" s="1">
        <f t="shared" si="22"/>
        <v>0</v>
      </c>
      <c r="J115" s="1">
        <f t="shared" si="23"/>
        <v>0</v>
      </c>
      <c r="K115" s="10">
        <f t="shared" si="24"/>
        <v>0</v>
      </c>
      <c r="L115" s="1">
        <v>0</v>
      </c>
      <c r="M115" s="17" t="s">
        <v>69</v>
      </c>
      <c r="N115" t="s">
        <v>86</v>
      </c>
      <c r="O115" s="1">
        <v>1</v>
      </c>
    </row>
    <row r="116" spans="1:15" x14ac:dyDescent="0.3">
      <c r="A116" s="1" t="str">
        <f>_xlfn.CONCAT("0b",D116:G116, " ", Table2[[#This Row],[D3]:[D0]])</f>
        <v>0b0111 0001</v>
      </c>
      <c r="B116" s="1" t="str">
        <f t="shared" si="16"/>
        <v>0x71</v>
      </c>
      <c r="C116" s="10">
        <v>113</v>
      </c>
      <c r="D116" s="9">
        <f t="shared" si="17"/>
        <v>0</v>
      </c>
      <c r="E116" s="1">
        <f t="shared" si="18"/>
        <v>1</v>
      </c>
      <c r="F116" s="1">
        <f t="shared" si="19"/>
        <v>1</v>
      </c>
      <c r="G116" s="1">
        <f t="shared" si="20"/>
        <v>1</v>
      </c>
      <c r="H116" s="1">
        <f t="shared" si="21"/>
        <v>0</v>
      </c>
      <c r="I116" s="1">
        <f t="shared" si="22"/>
        <v>0</v>
      </c>
      <c r="J116" s="1">
        <f t="shared" si="23"/>
        <v>0</v>
      </c>
      <c r="K116" s="10">
        <f t="shared" si="24"/>
        <v>1</v>
      </c>
      <c r="L116" s="1">
        <v>0</v>
      </c>
      <c r="M116" s="17" t="s">
        <v>70</v>
      </c>
      <c r="N116" t="s">
        <v>86</v>
      </c>
      <c r="O116" s="1">
        <v>1</v>
      </c>
    </row>
    <row r="117" spans="1:15" x14ac:dyDescent="0.3">
      <c r="A117" s="1" t="str">
        <f>_xlfn.CONCAT("0b",D117:G117, " ", Table2[[#This Row],[D3]:[D0]])</f>
        <v>0b0111 0010</v>
      </c>
      <c r="B117" s="1" t="str">
        <f t="shared" si="16"/>
        <v>0x72</v>
      </c>
      <c r="C117" s="10">
        <v>114</v>
      </c>
      <c r="D117" s="9">
        <f t="shared" si="17"/>
        <v>0</v>
      </c>
      <c r="E117" s="1">
        <f t="shared" si="18"/>
        <v>1</v>
      </c>
      <c r="F117" s="1">
        <f t="shared" si="19"/>
        <v>1</v>
      </c>
      <c r="G117" s="1">
        <f t="shared" si="20"/>
        <v>1</v>
      </c>
      <c r="H117" s="1">
        <f t="shared" si="21"/>
        <v>0</v>
      </c>
      <c r="I117" s="1">
        <f t="shared" si="22"/>
        <v>0</v>
      </c>
      <c r="J117" s="1">
        <f t="shared" si="23"/>
        <v>1</v>
      </c>
      <c r="K117" s="10">
        <f t="shared" si="24"/>
        <v>0</v>
      </c>
      <c r="L117" s="1">
        <v>0</v>
      </c>
      <c r="M117" s="17" t="s">
        <v>71</v>
      </c>
      <c r="N117" t="s">
        <v>86</v>
      </c>
      <c r="O117" s="1">
        <v>1</v>
      </c>
    </row>
    <row r="118" spans="1:15" x14ac:dyDescent="0.3">
      <c r="A118" s="1" t="str">
        <f>_xlfn.CONCAT("0b",D118:G118, " ", Table2[[#This Row],[D3]:[D0]])</f>
        <v>0b0111 0011</v>
      </c>
      <c r="B118" s="1" t="str">
        <f t="shared" si="16"/>
        <v>0x73</v>
      </c>
      <c r="C118" s="10">
        <v>115</v>
      </c>
      <c r="D118" s="9">
        <f t="shared" si="17"/>
        <v>0</v>
      </c>
      <c r="E118" s="1">
        <f t="shared" si="18"/>
        <v>1</v>
      </c>
      <c r="F118" s="1">
        <f t="shared" si="19"/>
        <v>1</v>
      </c>
      <c r="G118" s="1">
        <f t="shared" si="20"/>
        <v>1</v>
      </c>
      <c r="H118" s="1">
        <f t="shared" si="21"/>
        <v>0</v>
      </c>
      <c r="I118" s="1">
        <f t="shared" si="22"/>
        <v>0</v>
      </c>
      <c r="J118" s="1">
        <f t="shared" si="23"/>
        <v>1</v>
      </c>
      <c r="K118" s="10">
        <f t="shared" si="24"/>
        <v>1</v>
      </c>
      <c r="L118" s="1">
        <v>0</v>
      </c>
      <c r="M118" s="17" t="s">
        <v>72</v>
      </c>
      <c r="N118" t="s">
        <v>86</v>
      </c>
      <c r="O118" s="1">
        <v>1</v>
      </c>
    </row>
    <row r="119" spans="1:15" x14ac:dyDescent="0.3">
      <c r="A119" s="1" t="str">
        <f>_xlfn.CONCAT("0b",D119:G119, " ", Table2[[#This Row],[D3]:[D0]])</f>
        <v>0b0111 0100</v>
      </c>
      <c r="B119" s="1" t="str">
        <f t="shared" si="16"/>
        <v>0x74</v>
      </c>
      <c r="C119" s="10">
        <v>116</v>
      </c>
      <c r="D119" s="9">
        <f t="shared" si="17"/>
        <v>0</v>
      </c>
      <c r="E119" s="1">
        <f t="shared" si="18"/>
        <v>1</v>
      </c>
      <c r="F119" s="1">
        <f t="shared" si="19"/>
        <v>1</v>
      </c>
      <c r="G119" s="1">
        <f t="shared" si="20"/>
        <v>1</v>
      </c>
      <c r="H119" s="1">
        <f t="shared" si="21"/>
        <v>0</v>
      </c>
      <c r="I119" s="1">
        <f t="shared" si="22"/>
        <v>1</v>
      </c>
      <c r="J119" s="1">
        <f t="shared" si="23"/>
        <v>0</v>
      </c>
      <c r="K119" s="10">
        <f t="shared" si="24"/>
        <v>0</v>
      </c>
      <c r="L119" s="1">
        <v>0</v>
      </c>
      <c r="M119" s="17" t="s">
        <v>73</v>
      </c>
      <c r="N119" t="s">
        <v>86</v>
      </c>
      <c r="O119" s="1">
        <v>1</v>
      </c>
    </row>
    <row r="120" spans="1:15" x14ac:dyDescent="0.3">
      <c r="A120" s="1" t="str">
        <f>_xlfn.CONCAT("0b",D120:G120, " ", Table2[[#This Row],[D3]:[D0]])</f>
        <v>0b0111 0101</v>
      </c>
      <c r="B120" s="1" t="str">
        <f t="shared" si="16"/>
        <v>0x75</v>
      </c>
      <c r="C120" s="10">
        <v>117</v>
      </c>
      <c r="D120" s="9">
        <f t="shared" si="17"/>
        <v>0</v>
      </c>
      <c r="E120" s="1">
        <f t="shared" si="18"/>
        <v>1</v>
      </c>
      <c r="F120" s="1">
        <f t="shared" si="19"/>
        <v>1</v>
      </c>
      <c r="G120" s="1">
        <f t="shared" si="20"/>
        <v>1</v>
      </c>
      <c r="H120" s="1">
        <f t="shared" si="21"/>
        <v>0</v>
      </c>
      <c r="I120" s="1">
        <f t="shared" si="22"/>
        <v>1</v>
      </c>
      <c r="J120" s="1">
        <f t="shared" si="23"/>
        <v>0</v>
      </c>
      <c r="K120" s="10">
        <f t="shared" si="24"/>
        <v>1</v>
      </c>
      <c r="L120" s="1">
        <v>0</v>
      </c>
      <c r="M120" s="17" t="s">
        <v>74</v>
      </c>
      <c r="N120" t="s">
        <v>86</v>
      </c>
      <c r="O120" s="1">
        <v>1</v>
      </c>
    </row>
    <row r="121" spans="1:15" x14ac:dyDescent="0.3">
      <c r="A121" s="1" t="str">
        <f>_xlfn.CONCAT("0b",D121:G121, " ", Table2[[#This Row],[D3]:[D0]])</f>
        <v>0b0111 0110</v>
      </c>
      <c r="B121" s="1" t="str">
        <f t="shared" si="16"/>
        <v>0x76</v>
      </c>
      <c r="C121" s="10">
        <v>118</v>
      </c>
      <c r="D121" s="9">
        <f t="shared" si="17"/>
        <v>0</v>
      </c>
      <c r="E121" s="1">
        <f t="shared" si="18"/>
        <v>1</v>
      </c>
      <c r="F121" s="1">
        <f t="shared" si="19"/>
        <v>1</v>
      </c>
      <c r="G121" s="1">
        <f t="shared" si="20"/>
        <v>1</v>
      </c>
      <c r="H121" s="1">
        <f t="shared" si="21"/>
        <v>0</v>
      </c>
      <c r="I121" s="1">
        <f t="shared" si="22"/>
        <v>1</v>
      </c>
      <c r="J121" s="1">
        <f t="shared" si="23"/>
        <v>1</v>
      </c>
      <c r="K121" s="10">
        <f t="shared" si="24"/>
        <v>0</v>
      </c>
      <c r="L121" s="1">
        <v>0</v>
      </c>
      <c r="M121" s="17" t="s">
        <v>75</v>
      </c>
      <c r="N121" t="s">
        <v>86</v>
      </c>
      <c r="O121" s="1">
        <v>1</v>
      </c>
    </row>
    <row r="122" spans="1:15" x14ac:dyDescent="0.3">
      <c r="A122" s="1" t="str">
        <f>_xlfn.CONCAT("0b",D122:G122, " ", Table2[[#This Row],[D3]:[D0]])</f>
        <v>0b0111 0111</v>
      </c>
      <c r="B122" s="1" t="str">
        <f t="shared" si="16"/>
        <v>0x77</v>
      </c>
      <c r="C122" s="10">
        <v>119</v>
      </c>
      <c r="D122" s="9">
        <f t="shared" si="17"/>
        <v>0</v>
      </c>
      <c r="E122" s="1">
        <f t="shared" si="18"/>
        <v>1</v>
      </c>
      <c r="F122" s="1">
        <f t="shared" si="19"/>
        <v>1</v>
      </c>
      <c r="G122" s="1">
        <f t="shared" si="20"/>
        <v>1</v>
      </c>
      <c r="H122" s="1">
        <f t="shared" si="21"/>
        <v>0</v>
      </c>
      <c r="I122" s="1">
        <f t="shared" si="22"/>
        <v>1</v>
      </c>
      <c r="J122" s="1">
        <f t="shared" si="23"/>
        <v>1</v>
      </c>
      <c r="K122" s="10">
        <f t="shared" si="24"/>
        <v>1</v>
      </c>
      <c r="L122" s="1">
        <v>0</v>
      </c>
      <c r="M122" s="17" t="s">
        <v>76</v>
      </c>
      <c r="N122" t="s">
        <v>86</v>
      </c>
      <c r="O122" s="1">
        <v>1</v>
      </c>
    </row>
    <row r="123" spans="1:15" x14ac:dyDescent="0.3">
      <c r="A123" s="1" t="str">
        <f>_xlfn.CONCAT("0b",D123:G123, " ", Table2[[#This Row],[D3]:[D0]])</f>
        <v>0b0111 1000</v>
      </c>
      <c r="B123" s="1" t="str">
        <f t="shared" si="16"/>
        <v>0x78</v>
      </c>
      <c r="C123" s="10">
        <v>120</v>
      </c>
      <c r="D123" s="9">
        <f t="shared" si="17"/>
        <v>0</v>
      </c>
      <c r="E123" s="1">
        <f t="shared" si="18"/>
        <v>1</v>
      </c>
      <c r="F123" s="1">
        <f t="shared" si="19"/>
        <v>1</v>
      </c>
      <c r="G123" s="1">
        <f t="shared" si="20"/>
        <v>1</v>
      </c>
      <c r="H123" s="1">
        <f t="shared" si="21"/>
        <v>1</v>
      </c>
      <c r="I123" s="1">
        <f t="shared" si="22"/>
        <v>0</v>
      </c>
      <c r="J123" s="1">
        <f t="shared" si="23"/>
        <v>0</v>
      </c>
      <c r="K123" s="10">
        <f t="shared" si="24"/>
        <v>0</v>
      </c>
      <c r="L123" s="1">
        <v>0</v>
      </c>
      <c r="M123" s="17" t="s">
        <v>19</v>
      </c>
      <c r="N123" t="s">
        <v>86</v>
      </c>
      <c r="O123" s="1">
        <v>1</v>
      </c>
    </row>
    <row r="124" spans="1:15" x14ac:dyDescent="0.3">
      <c r="A124" s="1" t="str">
        <f>_xlfn.CONCAT("0b",D124:G124, " ", Table2[[#This Row],[D3]:[D0]])</f>
        <v>0b0111 1001</v>
      </c>
      <c r="B124" s="1" t="str">
        <f t="shared" si="16"/>
        <v>0x79</v>
      </c>
      <c r="C124" s="10">
        <v>121</v>
      </c>
      <c r="D124" s="9">
        <f t="shared" si="17"/>
        <v>0</v>
      </c>
      <c r="E124" s="1">
        <f t="shared" si="18"/>
        <v>1</v>
      </c>
      <c r="F124" s="1">
        <f t="shared" si="19"/>
        <v>1</v>
      </c>
      <c r="G124" s="1">
        <f t="shared" si="20"/>
        <v>1</v>
      </c>
      <c r="H124" s="1">
        <f t="shared" si="21"/>
        <v>1</v>
      </c>
      <c r="I124" s="1">
        <f t="shared" si="22"/>
        <v>0</v>
      </c>
      <c r="J124" s="1">
        <f t="shared" si="23"/>
        <v>0</v>
      </c>
      <c r="K124" s="10">
        <f t="shared" si="24"/>
        <v>1</v>
      </c>
      <c r="L124" s="1">
        <v>0</v>
      </c>
      <c r="M124" s="17" t="s">
        <v>77</v>
      </c>
      <c r="N124" t="s">
        <v>86</v>
      </c>
      <c r="O124" s="1">
        <v>1</v>
      </c>
    </row>
    <row r="125" spans="1:15" x14ac:dyDescent="0.3">
      <c r="A125" s="1" t="str">
        <f>_xlfn.CONCAT("0b",D125:G125, " ", Table2[[#This Row],[D3]:[D0]])</f>
        <v>0b0111 1010</v>
      </c>
      <c r="B125" s="1" t="str">
        <f t="shared" si="16"/>
        <v>0x7A</v>
      </c>
      <c r="C125" s="10">
        <v>122</v>
      </c>
      <c r="D125" s="9">
        <f t="shared" si="17"/>
        <v>0</v>
      </c>
      <c r="E125" s="1">
        <f t="shared" si="18"/>
        <v>1</v>
      </c>
      <c r="F125" s="1">
        <f t="shared" si="19"/>
        <v>1</v>
      </c>
      <c r="G125" s="1">
        <f t="shared" si="20"/>
        <v>1</v>
      </c>
      <c r="H125" s="1">
        <f t="shared" si="21"/>
        <v>1</v>
      </c>
      <c r="I125" s="1">
        <f t="shared" si="22"/>
        <v>0</v>
      </c>
      <c r="J125" s="1">
        <f t="shared" si="23"/>
        <v>1</v>
      </c>
      <c r="K125" s="10">
        <f t="shared" si="24"/>
        <v>0</v>
      </c>
      <c r="L125" s="1">
        <v>0</v>
      </c>
      <c r="M125" s="17" t="s">
        <v>78</v>
      </c>
      <c r="N125" t="s">
        <v>86</v>
      </c>
      <c r="O125" s="1">
        <v>1</v>
      </c>
    </row>
    <row r="126" spans="1:15" x14ac:dyDescent="0.3">
      <c r="A126" s="1" t="str">
        <f>_xlfn.CONCAT("0b",D126:G126, " ", Table2[[#This Row],[D3]:[D0]])</f>
        <v>0b0111 1011</v>
      </c>
      <c r="B126" s="1" t="str">
        <f t="shared" si="16"/>
        <v>0x7B</v>
      </c>
      <c r="C126" s="10">
        <v>123</v>
      </c>
      <c r="D126" s="9">
        <f t="shared" si="17"/>
        <v>0</v>
      </c>
      <c r="E126" s="1">
        <f t="shared" si="18"/>
        <v>1</v>
      </c>
      <c r="F126" s="1">
        <f t="shared" si="19"/>
        <v>1</v>
      </c>
      <c r="G126" s="1">
        <f t="shared" si="20"/>
        <v>1</v>
      </c>
      <c r="H126" s="1">
        <f t="shared" si="21"/>
        <v>1</v>
      </c>
      <c r="I126" s="1">
        <f t="shared" si="22"/>
        <v>0</v>
      </c>
      <c r="J126" s="1">
        <f t="shared" si="23"/>
        <v>1</v>
      </c>
      <c r="K126" s="10">
        <f t="shared" si="24"/>
        <v>1</v>
      </c>
      <c r="L126" s="1">
        <v>0</v>
      </c>
      <c r="M126" s="17" t="s">
        <v>87</v>
      </c>
      <c r="N126" t="s">
        <v>34</v>
      </c>
      <c r="O126" s="1">
        <v>1</v>
      </c>
    </row>
    <row r="127" spans="1:15" x14ac:dyDescent="0.3">
      <c r="A127" s="1" t="str">
        <f>_xlfn.CONCAT("0b",D127:G127, " ", Table2[[#This Row],[D3]:[D0]])</f>
        <v>0b0111 1100</v>
      </c>
      <c r="B127" s="1" t="str">
        <f t="shared" si="16"/>
        <v>0x7C</v>
      </c>
      <c r="C127" s="10">
        <v>124</v>
      </c>
      <c r="D127" s="9">
        <f t="shared" si="17"/>
        <v>0</v>
      </c>
      <c r="E127" s="1">
        <f t="shared" si="18"/>
        <v>1</v>
      </c>
      <c r="F127" s="1">
        <f t="shared" si="19"/>
        <v>1</v>
      </c>
      <c r="G127" s="1">
        <f t="shared" si="20"/>
        <v>1</v>
      </c>
      <c r="H127" s="1">
        <f t="shared" si="21"/>
        <v>1</v>
      </c>
      <c r="I127" s="1">
        <f t="shared" si="22"/>
        <v>1</v>
      </c>
      <c r="J127" s="1">
        <f t="shared" si="23"/>
        <v>0</v>
      </c>
      <c r="K127" s="10">
        <f t="shared" si="24"/>
        <v>0</v>
      </c>
      <c r="L127" s="1">
        <v>0</v>
      </c>
      <c r="M127" s="17" t="s">
        <v>36</v>
      </c>
      <c r="N127" t="s">
        <v>35</v>
      </c>
      <c r="O127" s="1">
        <v>1</v>
      </c>
    </row>
    <row r="128" spans="1:15" x14ac:dyDescent="0.3">
      <c r="A128" s="1" t="str">
        <f>_xlfn.CONCAT("0b",D128:G128, " ", Table2[[#This Row],[D3]:[D0]])</f>
        <v>0b0111 1101</v>
      </c>
      <c r="B128" s="1" t="str">
        <f t="shared" si="16"/>
        <v>0x7D</v>
      </c>
      <c r="C128" s="10">
        <v>125</v>
      </c>
      <c r="D128" s="9">
        <f t="shared" si="17"/>
        <v>0</v>
      </c>
      <c r="E128" s="1">
        <f t="shared" si="18"/>
        <v>1</v>
      </c>
      <c r="F128" s="1">
        <f t="shared" si="19"/>
        <v>1</v>
      </c>
      <c r="G128" s="1">
        <f t="shared" si="20"/>
        <v>1</v>
      </c>
      <c r="H128" s="1">
        <f t="shared" si="21"/>
        <v>1</v>
      </c>
      <c r="I128" s="1">
        <f t="shared" si="22"/>
        <v>1</v>
      </c>
      <c r="J128" s="1">
        <f t="shared" si="23"/>
        <v>0</v>
      </c>
      <c r="K128" s="10">
        <f t="shared" si="24"/>
        <v>1</v>
      </c>
      <c r="L128" s="1">
        <v>0</v>
      </c>
      <c r="M128" s="17" t="s">
        <v>88</v>
      </c>
      <c r="N128" t="s">
        <v>34</v>
      </c>
      <c r="O128" s="1">
        <v>1</v>
      </c>
    </row>
    <row r="129" spans="1:15" x14ac:dyDescent="0.3">
      <c r="A129" s="1" t="str">
        <f>_xlfn.CONCAT("0b",D129:G129, " ", Table2[[#This Row],[D3]:[D0]])</f>
        <v>0b0111 1110</v>
      </c>
      <c r="B129" s="1" t="str">
        <f t="shared" si="16"/>
        <v>0x7E</v>
      </c>
      <c r="C129" s="10">
        <v>126</v>
      </c>
      <c r="D129" s="9">
        <f t="shared" si="17"/>
        <v>0</v>
      </c>
      <c r="E129" s="1">
        <f t="shared" si="18"/>
        <v>1</v>
      </c>
      <c r="F129" s="1">
        <f t="shared" si="19"/>
        <v>1</v>
      </c>
      <c r="G129" s="1">
        <f t="shared" si="20"/>
        <v>1</v>
      </c>
      <c r="H129" s="1">
        <f t="shared" si="21"/>
        <v>1</v>
      </c>
      <c r="I129" s="1">
        <f t="shared" si="22"/>
        <v>1</v>
      </c>
      <c r="J129" s="1">
        <f t="shared" si="23"/>
        <v>1</v>
      </c>
      <c r="K129" s="10">
        <f t="shared" si="24"/>
        <v>0</v>
      </c>
      <c r="L129" s="1">
        <v>0</v>
      </c>
      <c r="M129" s="17" t="s">
        <v>89</v>
      </c>
      <c r="N129" t="s">
        <v>34</v>
      </c>
      <c r="O129" s="1">
        <v>1</v>
      </c>
    </row>
    <row r="130" spans="1:15" x14ac:dyDescent="0.3">
      <c r="A130" s="1" t="str">
        <f>_xlfn.CONCAT("0b",D130:G130, " ", Table2[[#This Row],[D3]:[D0]])</f>
        <v>0b0111 1111</v>
      </c>
      <c r="B130" s="1" t="str">
        <f t="shared" si="16"/>
        <v>0x7F</v>
      </c>
      <c r="C130" s="10">
        <v>127</v>
      </c>
      <c r="D130" s="9">
        <f t="shared" si="17"/>
        <v>0</v>
      </c>
      <c r="E130" s="1">
        <f t="shared" si="18"/>
        <v>1</v>
      </c>
      <c r="F130" s="1">
        <f t="shared" si="19"/>
        <v>1</v>
      </c>
      <c r="G130" s="1">
        <f t="shared" si="20"/>
        <v>1</v>
      </c>
      <c r="H130" s="1">
        <f t="shared" si="21"/>
        <v>1</v>
      </c>
      <c r="I130" s="1">
        <f t="shared" si="22"/>
        <v>1</v>
      </c>
      <c r="J130" s="1">
        <f t="shared" si="23"/>
        <v>1</v>
      </c>
      <c r="K130" s="10">
        <f t="shared" si="24"/>
        <v>1</v>
      </c>
      <c r="L130" s="1">
        <v>0</v>
      </c>
      <c r="M130" s="17" t="s">
        <v>36</v>
      </c>
      <c r="N130" t="s">
        <v>90</v>
      </c>
      <c r="O130" s="1">
        <v>1</v>
      </c>
    </row>
    <row r="131" spans="1:15" x14ac:dyDescent="0.3">
      <c r="A131" s="1" t="str">
        <f>_xlfn.CONCAT("0b",D131:G131, " ", Table2[[#This Row],[D3]:[D0]])</f>
        <v>0b1000 0000</v>
      </c>
      <c r="B131" s="1" t="str">
        <f t="shared" ref="B131:B194" si="26">_xlfn.CONCAT("0x",BIN2HEX(_xlfn.CONCAT(D131:K131), 2))</f>
        <v>0x80</v>
      </c>
      <c r="C131" s="10">
        <v>128</v>
      </c>
      <c r="D131" s="9">
        <f t="shared" ref="D131:D194" si="27">MOD(_xlfn.BITRSHIFT($C131,7),2)</f>
        <v>1</v>
      </c>
      <c r="E131" s="1">
        <f t="shared" ref="E131:E194" si="28">MOD(_xlfn.BITRSHIFT($C131,6),2)</f>
        <v>0</v>
      </c>
      <c r="F131" s="1">
        <f t="shared" ref="F131:F194" si="29">MOD(_xlfn.BITRSHIFT($C131,5),2)</f>
        <v>0</v>
      </c>
      <c r="G131" s="1">
        <f t="shared" ref="G131:G194" si="30">MOD(_xlfn.BITRSHIFT($C131,4),2)</f>
        <v>0</v>
      </c>
      <c r="H131" s="1">
        <f t="shared" ref="H131:H194" si="31">MOD(_xlfn.BITRSHIFT($C131,3),2)</f>
        <v>0</v>
      </c>
      <c r="I131" s="1">
        <f t="shared" ref="I131:I194" si="32">MOD(_xlfn.BITRSHIFT($C131,2),2)</f>
        <v>0</v>
      </c>
      <c r="J131" s="1">
        <f t="shared" ref="J131:J194" si="33">MOD(_xlfn.BITRSHIFT($C131,1),2)</f>
        <v>0</v>
      </c>
      <c r="K131" s="10">
        <f t="shared" ref="K131:K194" si="34">MOD(_xlfn.BITRSHIFT($C131,0),2)</f>
        <v>0</v>
      </c>
      <c r="L131" s="1">
        <v>0</v>
      </c>
      <c r="M131" s="17" t="s">
        <v>91</v>
      </c>
      <c r="N131" t="s">
        <v>34</v>
      </c>
      <c r="O131" s="1">
        <v>1</v>
      </c>
    </row>
    <row r="132" spans="1:15" x14ac:dyDescent="0.3">
      <c r="A132" s="1" t="str">
        <f>_xlfn.CONCAT("0b",D132:G132, " ", Table2[[#This Row],[D3]:[D0]])</f>
        <v>0b1000 0001</v>
      </c>
      <c r="B132" s="1" t="str">
        <f t="shared" si="26"/>
        <v>0x81</v>
      </c>
      <c r="C132" s="10">
        <v>129</v>
      </c>
      <c r="D132" s="9">
        <f t="shared" si="27"/>
        <v>1</v>
      </c>
      <c r="E132" s="1">
        <f t="shared" si="28"/>
        <v>0</v>
      </c>
      <c r="F132" s="1">
        <f t="shared" si="29"/>
        <v>0</v>
      </c>
      <c r="G132" s="1">
        <f t="shared" si="30"/>
        <v>0</v>
      </c>
      <c r="H132" s="1">
        <f t="shared" si="31"/>
        <v>0</v>
      </c>
      <c r="I132" s="1">
        <f t="shared" si="32"/>
        <v>0</v>
      </c>
      <c r="J132" s="1">
        <f t="shared" si="33"/>
        <v>0</v>
      </c>
      <c r="K132" s="10">
        <f t="shared" si="34"/>
        <v>1</v>
      </c>
      <c r="L132" s="1">
        <v>0</v>
      </c>
      <c r="M132" s="17" t="str">
        <f>_xlfn.CONCAT(M36, ".,")</f>
        <v>𝛻.,</v>
      </c>
      <c r="N132" t="s">
        <v>34</v>
      </c>
      <c r="O132" s="1">
        <v>1</v>
      </c>
    </row>
    <row r="133" spans="1:15" x14ac:dyDescent="0.3">
      <c r="A133" s="1" t="str">
        <f>_xlfn.CONCAT("0b",D133:G133, " ", Table2[[#This Row],[D3]:[D0]])</f>
        <v>0b1000 0010</v>
      </c>
      <c r="B133" s="1" t="str">
        <f t="shared" si="26"/>
        <v>0x82</v>
      </c>
      <c r="C133" s="10">
        <v>130</v>
      </c>
      <c r="D133" s="9">
        <f t="shared" si="27"/>
        <v>1</v>
      </c>
      <c r="E133" s="1">
        <f t="shared" si="28"/>
        <v>0</v>
      </c>
      <c r="F133" s="1">
        <f t="shared" si="29"/>
        <v>0</v>
      </c>
      <c r="G133" s="1">
        <f t="shared" si="30"/>
        <v>0</v>
      </c>
      <c r="H133" s="1">
        <f t="shared" si="31"/>
        <v>0</v>
      </c>
      <c r="I133" s="1">
        <f t="shared" si="32"/>
        <v>0</v>
      </c>
      <c r="J133" s="1">
        <f t="shared" si="33"/>
        <v>1</v>
      </c>
      <c r="K133" s="10">
        <f t="shared" si="34"/>
        <v>0</v>
      </c>
      <c r="L133" s="1">
        <v>0</v>
      </c>
      <c r="M133" s="17" t="str">
        <f>_xlfn.CONCAT(M37, ".,")</f>
        <v>".,</v>
      </c>
      <c r="O133" s="1">
        <v>1</v>
      </c>
    </row>
    <row r="134" spans="1:15" x14ac:dyDescent="0.3">
      <c r="A134" s="1" t="str">
        <f>_xlfn.CONCAT("0b",D134:G134, " ", Table2[[#This Row],[D3]:[D0]])</f>
        <v>0b1000 0011</v>
      </c>
      <c r="B134" s="1" t="str">
        <f t="shared" si="26"/>
        <v>0x83</v>
      </c>
      <c r="C134" s="10">
        <v>131</v>
      </c>
      <c r="D134" s="9">
        <f t="shared" si="27"/>
        <v>1</v>
      </c>
      <c r="E134" s="1">
        <f t="shared" si="28"/>
        <v>0</v>
      </c>
      <c r="F134" s="1">
        <f t="shared" si="29"/>
        <v>0</v>
      </c>
      <c r="G134" s="1">
        <f t="shared" si="30"/>
        <v>0</v>
      </c>
      <c r="H134" s="1">
        <f t="shared" si="31"/>
        <v>0</v>
      </c>
      <c r="I134" s="1">
        <f t="shared" si="32"/>
        <v>0</v>
      </c>
      <c r="J134" s="1">
        <f t="shared" si="33"/>
        <v>1</v>
      </c>
      <c r="K134" s="10">
        <f t="shared" si="34"/>
        <v>1</v>
      </c>
      <c r="L134" s="1">
        <v>0</v>
      </c>
      <c r="M134" s="17" t="str">
        <f t="shared" ref="M134:M162" si="35">_xlfn.CONCAT(M38, ".,")</f>
        <v>≡.,</v>
      </c>
      <c r="O134" s="1">
        <v>1</v>
      </c>
    </row>
    <row r="135" spans="1:15" x14ac:dyDescent="0.3">
      <c r="A135" s="1" t="str">
        <f>_xlfn.CONCAT("0b",D135:G135, " ", Table2[[#This Row],[D3]:[D0]])</f>
        <v>0b1000 0100</v>
      </c>
      <c r="B135" s="1" t="str">
        <f t="shared" si="26"/>
        <v>0x84</v>
      </c>
      <c r="C135" s="10">
        <v>132</v>
      </c>
      <c r="D135" s="9">
        <f t="shared" si="27"/>
        <v>1</v>
      </c>
      <c r="E135" s="1">
        <f t="shared" si="28"/>
        <v>0</v>
      </c>
      <c r="F135" s="1">
        <f t="shared" si="29"/>
        <v>0</v>
      </c>
      <c r="G135" s="1">
        <f t="shared" si="30"/>
        <v>0</v>
      </c>
      <c r="H135" s="1">
        <f t="shared" si="31"/>
        <v>0</v>
      </c>
      <c r="I135" s="1">
        <f t="shared" si="32"/>
        <v>1</v>
      </c>
      <c r="J135" s="1">
        <f t="shared" si="33"/>
        <v>0</v>
      </c>
      <c r="K135" s="10">
        <f t="shared" si="34"/>
        <v>0</v>
      </c>
      <c r="L135" s="1">
        <v>0</v>
      </c>
      <c r="M135" s="17" t="str">
        <f t="shared" si="35"/>
        <v>$.,</v>
      </c>
      <c r="O135" s="1">
        <v>1</v>
      </c>
    </row>
    <row r="136" spans="1:15" x14ac:dyDescent="0.3">
      <c r="A136" s="1" t="str">
        <f>_xlfn.CONCAT("0b",D136:G136, " ", Table2[[#This Row],[D3]:[D0]])</f>
        <v>0b1000 0101</v>
      </c>
      <c r="B136" s="1" t="str">
        <f t="shared" si="26"/>
        <v>0x85</v>
      </c>
      <c r="C136" s="10">
        <v>133</v>
      </c>
      <c r="D136" s="9">
        <f t="shared" si="27"/>
        <v>1</v>
      </c>
      <c r="E136" s="1">
        <f t="shared" si="28"/>
        <v>0</v>
      </c>
      <c r="F136" s="1">
        <f t="shared" si="29"/>
        <v>0</v>
      </c>
      <c r="G136" s="1">
        <f t="shared" si="30"/>
        <v>0</v>
      </c>
      <c r="H136" s="1">
        <f t="shared" si="31"/>
        <v>0</v>
      </c>
      <c r="I136" s="1">
        <f t="shared" si="32"/>
        <v>1</v>
      </c>
      <c r="J136" s="1">
        <f t="shared" si="33"/>
        <v>0</v>
      </c>
      <c r="K136" s="10">
        <f t="shared" si="34"/>
        <v>1</v>
      </c>
      <c r="L136" s="1">
        <v>0</v>
      </c>
      <c r="M136" s="17" t="str">
        <f t="shared" si="35"/>
        <v>UNKNOWN.,</v>
      </c>
      <c r="O136" s="1">
        <v>1</v>
      </c>
    </row>
    <row r="137" spans="1:15" x14ac:dyDescent="0.3">
      <c r="A137" s="1" t="str">
        <f>_xlfn.CONCAT("0b",D137:G137, " ", Table2[[#This Row],[D3]:[D0]])</f>
        <v>0b1000 0110</v>
      </c>
      <c r="B137" s="1" t="str">
        <f t="shared" si="26"/>
        <v>0x86</v>
      </c>
      <c r="C137" s="10">
        <v>134</v>
      </c>
      <c r="D137" s="9">
        <f t="shared" si="27"/>
        <v>1</v>
      </c>
      <c r="E137" s="1">
        <f t="shared" si="28"/>
        <v>0</v>
      </c>
      <c r="F137" s="1">
        <f t="shared" si="29"/>
        <v>0</v>
      </c>
      <c r="G137" s="1">
        <f t="shared" si="30"/>
        <v>0</v>
      </c>
      <c r="H137" s="1">
        <f t="shared" si="31"/>
        <v>0</v>
      </c>
      <c r="I137" s="1">
        <f t="shared" si="32"/>
        <v>1</v>
      </c>
      <c r="J137" s="1">
        <f t="shared" si="33"/>
        <v>1</v>
      </c>
      <c r="K137" s="10">
        <f t="shared" si="34"/>
        <v>0</v>
      </c>
      <c r="L137" s="1">
        <v>0</v>
      </c>
      <c r="M137" s="17" t="str">
        <f t="shared" si="35"/>
        <v>UNKNOWN.,</v>
      </c>
      <c r="O137" s="1">
        <v>1</v>
      </c>
    </row>
    <row r="138" spans="1:15" x14ac:dyDescent="0.3">
      <c r="A138" s="1" t="str">
        <f>_xlfn.CONCAT("0b",D138:G138, " ", Table2[[#This Row],[D3]:[D0]])</f>
        <v>0b1000 0111</v>
      </c>
      <c r="B138" s="1" t="str">
        <f t="shared" si="26"/>
        <v>0x87</v>
      </c>
      <c r="C138" s="10">
        <v>135</v>
      </c>
      <c r="D138" s="9">
        <f t="shared" si="27"/>
        <v>1</v>
      </c>
      <c r="E138" s="1">
        <f t="shared" si="28"/>
        <v>0</v>
      </c>
      <c r="F138" s="1">
        <f t="shared" si="29"/>
        <v>0</v>
      </c>
      <c r="G138" s="1">
        <f t="shared" si="30"/>
        <v>0</v>
      </c>
      <c r="H138" s="1">
        <f t="shared" si="31"/>
        <v>0</v>
      </c>
      <c r="I138" s="1">
        <f t="shared" si="32"/>
        <v>1</v>
      </c>
      <c r="J138" s="1">
        <f t="shared" si="33"/>
        <v>1</v>
      </c>
      <c r="K138" s="10">
        <f t="shared" si="34"/>
        <v>1</v>
      </c>
      <c r="L138" s="1">
        <v>0</v>
      </c>
      <c r="M138" s="17" t="str">
        <f t="shared" si="35"/>
        <v>'.,</v>
      </c>
      <c r="O138" s="1">
        <v>1</v>
      </c>
    </row>
    <row r="139" spans="1:15" x14ac:dyDescent="0.3">
      <c r="A139" s="1" t="str">
        <f>_xlfn.CONCAT("0b",D139:G139, " ", Table2[[#This Row],[D3]:[D0]])</f>
        <v>0b1000 1000</v>
      </c>
      <c r="B139" s="1" t="str">
        <f t="shared" si="26"/>
        <v>0x88</v>
      </c>
      <c r="C139" s="10">
        <v>136</v>
      </c>
      <c r="D139" s="9">
        <f t="shared" si="27"/>
        <v>1</v>
      </c>
      <c r="E139" s="1">
        <f t="shared" si="28"/>
        <v>0</v>
      </c>
      <c r="F139" s="1">
        <f t="shared" si="29"/>
        <v>0</v>
      </c>
      <c r="G139" s="1">
        <f t="shared" si="30"/>
        <v>0</v>
      </c>
      <c r="H139" s="1">
        <f t="shared" si="31"/>
        <v>1</v>
      </c>
      <c r="I139" s="1">
        <f t="shared" si="32"/>
        <v>0</v>
      </c>
      <c r="J139" s="1">
        <f t="shared" si="33"/>
        <v>0</v>
      </c>
      <c r="K139" s="10">
        <f t="shared" si="34"/>
        <v>0</v>
      </c>
      <c r="L139" s="1">
        <v>0</v>
      </c>
      <c r="M139" s="17" t="str">
        <f t="shared" si="35"/>
        <v>⚟.,</v>
      </c>
      <c r="O139" s="1">
        <v>1</v>
      </c>
    </row>
    <row r="140" spans="1:15" x14ac:dyDescent="0.3">
      <c r="A140" s="1" t="str">
        <f>_xlfn.CONCAT("0b",D140:G140, " ", Table2[[#This Row],[D3]:[D0]])</f>
        <v>0b1000 1001</v>
      </c>
      <c r="B140" s="1" t="str">
        <f t="shared" si="26"/>
        <v>0x89</v>
      </c>
      <c r="C140" s="10">
        <v>137</v>
      </c>
      <c r="D140" s="9">
        <f t="shared" si="27"/>
        <v>1</v>
      </c>
      <c r="E140" s="1">
        <f t="shared" si="28"/>
        <v>0</v>
      </c>
      <c r="F140" s="1">
        <f t="shared" si="29"/>
        <v>0</v>
      </c>
      <c r="G140" s="1">
        <f t="shared" si="30"/>
        <v>0</v>
      </c>
      <c r="H140" s="1">
        <f t="shared" si="31"/>
        <v>1</v>
      </c>
      <c r="I140" s="1">
        <f t="shared" si="32"/>
        <v>0</v>
      </c>
      <c r="J140" s="1">
        <f t="shared" si="33"/>
        <v>0</v>
      </c>
      <c r="K140" s="10">
        <f t="shared" si="34"/>
        <v>1</v>
      </c>
      <c r="L140" s="1">
        <v>0</v>
      </c>
      <c r="M140" s="17" t="str">
        <f t="shared" si="35"/>
        <v>⪫.,</v>
      </c>
      <c r="O140" s="1">
        <v>1</v>
      </c>
    </row>
    <row r="141" spans="1:15" x14ac:dyDescent="0.3">
      <c r="A141" s="1" t="str">
        <f>_xlfn.CONCAT("0b",D141:G141, " ", Table2[[#This Row],[D3]:[D0]])</f>
        <v>0b1000 1010</v>
      </c>
      <c r="B141" s="1" t="str">
        <f t="shared" si="26"/>
        <v>0x8A</v>
      </c>
      <c r="C141" s="10">
        <v>138</v>
      </c>
      <c r="D141" s="9">
        <f t="shared" si="27"/>
        <v>1</v>
      </c>
      <c r="E141" s="1">
        <f t="shared" si="28"/>
        <v>0</v>
      </c>
      <c r="F141" s="1">
        <f t="shared" si="29"/>
        <v>0</v>
      </c>
      <c r="G141" s="1">
        <f t="shared" si="30"/>
        <v>0</v>
      </c>
      <c r="H141" s="1">
        <f t="shared" si="31"/>
        <v>1</v>
      </c>
      <c r="I141" s="1">
        <f t="shared" si="32"/>
        <v>0</v>
      </c>
      <c r="J141" s="1">
        <f t="shared" si="33"/>
        <v>1</v>
      </c>
      <c r="K141" s="10">
        <f t="shared" si="34"/>
        <v>0</v>
      </c>
      <c r="L141" s="1">
        <v>0</v>
      </c>
      <c r="M141" s="17" t="str">
        <f t="shared" si="35"/>
        <v>*.,</v>
      </c>
      <c r="O141" s="1">
        <v>1</v>
      </c>
    </row>
    <row r="142" spans="1:15" x14ac:dyDescent="0.3">
      <c r="A142" s="1" t="str">
        <f>_xlfn.CONCAT("0b",D142:G142, " ", Table2[[#This Row],[D3]:[D0]])</f>
        <v>0b1000 1011</v>
      </c>
      <c r="B142" s="1" t="str">
        <f t="shared" si="26"/>
        <v>0x8B</v>
      </c>
      <c r="C142" s="10">
        <v>139</v>
      </c>
      <c r="D142" s="9">
        <f t="shared" si="27"/>
        <v>1</v>
      </c>
      <c r="E142" s="1">
        <f t="shared" si="28"/>
        <v>0</v>
      </c>
      <c r="F142" s="1">
        <f t="shared" si="29"/>
        <v>0</v>
      </c>
      <c r="G142" s="1">
        <f t="shared" si="30"/>
        <v>0</v>
      </c>
      <c r="H142" s="1">
        <f t="shared" si="31"/>
        <v>1</v>
      </c>
      <c r="I142" s="1">
        <f t="shared" si="32"/>
        <v>0</v>
      </c>
      <c r="J142" s="1">
        <f t="shared" si="33"/>
        <v>1</v>
      </c>
      <c r="K142" s="10">
        <f t="shared" si="34"/>
        <v>1</v>
      </c>
      <c r="L142" s="1">
        <v>0</v>
      </c>
      <c r="M142" s="17" t="str">
        <f t="shared" si="35"/>
        <v>+.,</v>
      </c>
      <c r="O142" s="1">
        <v>1</v>
      </c>
    </row>
    <row r="143" spans="1:15" x14ac:dyDescent="0.3">
      <c r="A143" s="1" t="str">
        <f>_xlfn.CONCAT("0b",D143:G143, " ", Table2[[#This Row],[D3]:[D0]])</f>
        <v>0b1000 1100</v>
      </c>
      <c r="B143" s="1" t="str">
        <f t="shared" si="26"/>
        <v>0x8C</v>
      </c>
      <c r="C143" s="10">
        <v>140</v>
      </c>
      <c r="D143" s="9">
        <f t="shared" si="27"/>
        <v>1</v>
      </c>
      <c r="E143" s="1">
        <f t="shared" si="28"/>
        <v>0</v>
      </c>
      <c r="F143" s="1">
        <f t="shared" si="29"/>
        <v>0</v>
      </c>
      <c r="G143" s="1">
        <f t="shared" si="30"/>
        <v>0</v>
      </c>
      <c r="H143" s="1">
        <f t="shared" si="31"/>
        <v>1</v>
      </c>
      <c r="I143" s="1">
        <f t="shared" si="32"/>
        <v>1</v>
      </c>
      <c r="J143" s="1">
        <f t="shared" si="33"/>
        <v>0</v>
      </c>
      <c r="K143" s="10">
        <f t="shared" si="34"/>
        <v>0</v>
      </c>
      <c r="L143" s="1">
        <v>0</v>
      </c>
      <c r="M143" s="17" t="str">
        <f t="shared" si="35"/>
        <v>,.,</v>
      </c>
      <c r="O143" s="1">
        <v>1</v>
      </c>
    </row>
    <row r="144" spans="1:15" x14ac:dyDescent="0.3">
      <c r="A144" s="1" t="str">
        <f>_xlfn.CONCAT("0b",D144:G144, " ", Table2[[#This Row],[D3]:[D0]])</f>
        <v>0b1000 1101</v>
      </c>
      <c r="B144" s="1" t="str">
        <f t="shared" si="26"/>
        <v>0x8D</v>
      </c>
      <c r="C144" s="10">
        <v>141</v>
      </c>
      <c r="D144" s="9">
        <f t="shared" si="27"/>
        <v>1</v>
      </c>
      <c r="E144" s="1">
        <f t="shared" si="28"/>
        <v>0</v>
      </c>
      <c r="F144" s="1">
        <f t="shared" si="29"/>
        <v>0</v>
      </c>
      <c r="G144" s="1">
        <f t="shared" si="30"/>
        <v>0</v>
      </c>
      <c r="H144" s="1">
        <f t="shared" si="31"/>
        <v>1</v>
      </c>
      <c r="I144" s="1">
        <f t="shared" si="32"/>
        <v>1</v>
      </c>
      <c r="J144" s="1">
        <f t="shared" si="33"/>
        <v>0</v>
      </c>
      <c r="K144" s="10">
        <f t="shared" si="34"/>
        <v>1</v>
      </c>
      <c r="L144" s="1">
        <v>0</v>
      </c>
      <c r="M144" s="17" t="str">
        <f t="shared" si="35"/>
        <v>-.,</v>
      </c>
      <c r="O144" s="1">
        <v>1</v>
      </c>
    </row>
    <row r="145" spans="1:15" x14ac:dyDescent="0.3">
      <c r="A145" s="1" t="str">
        <f>_xlfn.CONCAT("0b",D145:G145, " ", Table2[[#This Row],[D3]:[D0]])</f>
        <v>0b1000 1110</v>
      </c>
      <c r="B145" s="1" t="str">
        <f t="shared" si="26"/>
        <v>0x8E</v>
      </c>
      <c r="C145" s="10">
        <v>142</v>
      </c>
      <c r="D145" s="9">
        <f t="shared" si="27"/>
        <v>1</v>
      </c>
      <c r="E145" s="1">
        <f t="shared" si="28"/>
        <v>0</v>
      </c>
      <c r="F145" s="1">
        <f t="shared" si="29"/>
        <v>0</v>
      </c>
      <c r="G145" s="1">
        <f t="shared" si="30"/>
        <v>0</v>
      </c>
      <c r="H145" s="1">
        <f t="shared" si="31"/>
        <v>1</v>
      </c>
      <c r="I145" s="1">
        <f t="shared" si="32"/>
        <v>1</v>
      </c>
      <c r="J145" s="1">
        <f t="shared" si="33"/>
        <v>1</v>
      </c>
      <c r="K145" s="10">
        <f t="shared" si="34"/>
        <v>0</v>
      </c>
      <c r="L145" s="1">
        <v>0</v>
      </c>
      <c r="M145" s="17" t="str">
        <f t="shared" si="35"/>
        <v>..,</v>
      </c>
      <c r="O145" s="1">
        <v>1</v>
      </c>
    </row>
    <row r="146" spans="1:15" x14ac:dyDescent="0.3">
      <c r="A146" s="1" t="str">
        <f>_xlfn.CONCAT("0b",D146:G146, " ", Table2[[#This Row],[D3]:[D0]])</f>
        <v>0b1000 1111</v>
      </c>
      <c r="B146" s="1" t="str">
        <f t="shared" si="26"/>
        <v>0x8F</v>
      </c>
      <c r="C146" s="10">
        <v>143</v>
      </c>
      <c r="D146" s="9">
        <f t="shared" si="27"/>
        <v>1</v>
      </c>
      <c r="E146" s="1">
        <f t="shared" si="28"/>
        <v>0</v>
      </c>
      <c r="F146" s="1">
        <f t="shared" si="29"/>
        <v>0</v>
      </c>
      <c r="G146" s="1">
        <f t="shared" si="30"/>
        <v>0</v>
      </c>
      <c r="H146" s="1">
        <f t="shared" si="31"/>
        <v>1</v>
      </c>
      <c r="I146" s="1">
        <f t="shared" si="32"/>
        <v>1</v>
      </c>
      <c r="J146" s="1">
        <f t="shared" si="33"/>
        <v>1</v>
      </c>
      <c r="K146" s="10">
        <f t="shared" si="34"/>
        <v>1</v>
      </c>
      <c r="L146" s="1">
        <v>0</v>
      </c>
      <c r="M146" s="17" t="str">
        <f t="shared" si="35"/>
        <v>/.,</v>
      </c>
      <c r="O146" s="1">
        <v>1</v>
      </c>
    </row>
    <row r="147" spans="1:15" x14ac:dyDescent="0.3">
      <c r="A147" s="1" t="str">
        <f>_xlfn.CONCAT("0b",D147:G147, " ", Table2[[#This Row],[D3]:[D0]])</f>
        <v>0b1001 0000</v>
      </c>
      <c r="B147" s="1" t="str">
        <f t="shared" si="26"/>
        <v>0x90</v>
      </c>
      <c r="C147" s="10">
        <v>144</v>
      </c>
      <c r="D147" s="9">
        <f t="shared" si="27"/>
        <v>1</v>
      </c>
      <c r="E147" s="1">
        <f t="shared" si="28"/>
        <v>0</v>
      </c>
      <c r="F147" s="1">
        <f t="shared" si="29"/>
        <v>0</v>
      </c>
      <c r="G147" s="1">
        <f t="shared" si="30"/>
        <v>1</v>
      </c>
      <c r="H147" s="1">
        <f t="shared" si="31"/>
        <v>0</v>
      </c>
      <c r="I147" s="1">
        <f t="shared" si="32"/>
        <v>0</v>
      </c>
      <c r="J147" s="1">
        <f t="shared" si="33"/>
        <v>0</v>
      </c>
      <c r="K147" s="10">
        <f t="shared" si="34"/>
        <v>0</v>
      </c>
      <c r="L147" s="1">
        <v>0</v>
      </c>
      <c r="M147" s="17" t="str">
        <f t="shared" si="35"/>
        <v>0.,</v>
      </c>
      <c r="O147" s="1">
        <v>1</v>
      </c>
    </row>
    <row r="148" spans="1:15" x14ac:dyDescent="0.3">
      <c r="A148" s="1" t="str">
        <f>_xlfn.CONCAT("0b",D148:G148, " ", Table2[[#This Row],[D3]:[D0]])</f>
        <v>0b1001 0001</v>
      </c>
      <c r="B148" s="1" t="str">
        <f t="shared" si="26"/>
        <v>0x91</v>
      </c>
      <c r="C148" s="10">
        <v>145</v>
      </c>
      <c r="D148" s="9">
        <f t="shared" si="27"/>
        <v>1</v>
      </c>
      <c r="E148" s="1">
        <f t="shared" si="28"/>
        <v>0</v>
      </c>
      <c r="F148" s="1">
        <f t="shared" si="29"/>
        <v>0</v>
      </c>
      <c r="G148" s="1">
        <f t="shared" si="30"/>
        <v>1</v>
      </c>
      <c r="H148" s="1">
        <f t="shared" si="31"/>
        <v>0</v>
      </c>
      <c r="I148" s="1">
        <f t="shared" si="32"/>
        <v>0</v>
      </c>
      <c r="J148" s="1">
        <f t="shared" si="33"/>
        <v>0</v>
      </c>
      <c r="K148" s="10">
        <f t="shared" si="34"/>
        <v>1</v>
      </c>
      <c r="L148" s="1">
        <v>0</v>
      </c>
      <c r="M148" s="17" t="str">
        <f t="shared" si="35"/>
        <v>1.,</v>
      </c>
      <c r="O148" s="1">
        <v>1</v>
      </c>
    </row>
    <row r="149" spans="1:15" x14ac:dyDescent="0.3">
      <c r="A149" s="1" t="str">
        <f>_xlfn.CONCAT("0b",D149:G149, " ", Table2[[#This Row],[D3]:[D0]])</f>
        <v>0b1001 0010</v>
      </c>
      <c r="B149" s="1" t="str">
        <f t="shared" si="26"/>
        <v>0x92</v>
      </c>
      <c r="C149" s="10">
        <v>146</v>
      </c>
      <c r="D149" s="9">
        <f t="shared" si="27"/>
        <v>1</v>
      </c>
      <c r="E149" s="1">
        <f t="shared" si="28"/>
        <v>0</v>
      </c>
      <c r="F149" s="1">
        <f t="shared" si="29"/>
        <v>0</v>
      </c>
      <c r="G149" s="1">
        <f t="shared" si="30"/>
        <v>1</v>
      </c>
      <c r="H149" s="1">
        <f t="shared" si="31"/>
        <v>0</v>
      </c>
      <c r="I149" s="1">
        <f t="shared" si="32"/>
        <v>0</v>
      </c>
      <c r="J149" s="1">
        <f t="shared" si="33"/>
        <v>1</v>
      </c>
      <c r="K149" s="10">
        <f t="shared" si="34"/>
        <v>0</v>
      </c>
      <c r="L149" s="1">
        <v>0</v>
      </c>
      <c r="M149" s="17" t="str">
        <f t="shared" si="35"/>
        <v>2.,</v>
      </c>
      <c r="O149" s="1">
        <v>1</v>
      </c>
    </row>
    <row r="150" spans="1:15" x14ac:dyDescent="0.3">
      <c r="A150" s="1" t="str">
        <f>_xlfn.CONCAT("0b",D150:G150, " ", Table2[[#This Row],[D3]:[D0]])</f>
        <v>0b1001 0011</v>
      </c>
      <c r="B150" s="1" t="str">
        <f t="shared" si="26"/>
        <v>0x93</v>
      </c>
      <c r="C150" s="10">
        <v>147</v>
      </c>
      <c r="D150" s="9">
        <f t="shared" si="27"/>
        <v>1</v>
      </c>
      <c r="E150" s="1">
        <f t="shared" si="28"/>
        <v>0</v>
      </c>
      <c r="F150" s="1">
        <f t="shared" si="29"/>
        <v>0</v>
      </c>
      <c r="G150" s="1">
        <f t="shared" si="30"/>
        <v>1</v>
      </c>
      <c r="H150" s="1">
        <f t="shared" si="31"/>
        <v>0</v>
      </c>
      <c r="I150" s="1">
        <f t="shared" si="32"/>
        <v>0</v>
      </c>
      <c r="J150" s="1">
        <f t="shared" si="33"/>
        <v>1</v>
      </c>
      <c r="K150" s="10">
        <f t="shared" si="34"/>
        <v>1</v>
      </c>
      <c r="L150" s="1">
        <v>0</v>
      </c>
      <c r="M150" s="17" t="str">
        <f t="shared" si="35"/>
        <v>3.,</v>
      </c>
      <c r="O150" s="1">
        <v>1</v>
      </c>
    </row>
    <row r="151" spans="1:15" x14ac:dyDescent="0.3">
      <c r="A151" s="1" t="str">
        <f>_xlfn.CONCAT("0b",D151:G151, " ", Table2[[#This Row],[D3]:[D0]])</f>
        <v>0b1001 0100</v>
      </c>
      <c r="B151" s="1" t="str">
        <f t="shared" si="26"/>
        <v>0x94</v>
      </c>
      <c r="C151" s="10">
        <v>148</v>
      </c>
      <c r="D151" s="9">
        <f t="shared" si="27"/>
        <v>1</v>
      </c>
      <c r="E151" s="1">
        <f t="shared" si="28"/>
        <v>0</v>
      </c>
      <c r="F151" s="1">
        <f t="shared" si="29"/>
        <v>0</v>
      </c>
      <c r="G151" s="1">
        <f t="shared" si="30"/>
        <v>1</v>
      </c>
      <c r="H151" s="1">
        <f t="shared" si="31"/>
        <v>0</v>
      </c>
      <c r="I151" s="1">
        <f t="shared" si="32"/>
        <v>1</v>
      </c>
      <c r="J151" s="1">
        <f t="shared" si="33"/>
        <v>0</v>
      </c>
      <c r="K151" s="10">
        <f t="shared" si="34"/>
        <v>0</v>
      </c>
      <c r="L151" s="1">
        <v>0</v>
      </c>
      <c r="M151" s="17" t="str">
        <f t="shared" si="35"/>
        <v>4.,</v>
      </c>
      <c r="O151" s="1">
        <v>1</v>
      </c>
    </row>
    <row r="152" spans="1:15" x14ac:dyDescent="0.3">
      <c r="A152" s="1" t="str">
        <f>_xlfn.CONCAT("0b",D152:G152, " ", Table2[[#This Row],[D3]:[D0]])</f>
        <v>0b1001 0101</v>
      </c>
      <c r="B152" s="1" t="str">
        <f t="shared" si="26"/>
        <v>0x95</v>
      </c>
      <c r="C152" s="10">
        <v>149</v>
      </c>
      <c r="D152" s="9">
        <f t="shared" si="27"/>
        <v>1</v>
      </c>
      <c r="E152" s="1">
        <f t="shared" si="28"/>
        <v>0</v>
      </c>
      <c r="F152" s="1">
        <f t="shared" si="29"/>
        <v>0</v>
      </c>
      <c r="G152" s="1">
        <f t="shared" si="30"/>
        <v>1</v>
      </c>
      <c r="H152" s="1">
        <f t="shared" si="31"/>
        <v>0</v>
      </c>
      <c r="I152" s="1">
        <f t="shared" si="32"/>
        <v>1</v>
      </c>
      <c r="J152" s="1">
        <f t="shared" si="33"/>
        <v>0</v>
      </c>
      <c r="K152" s="10">
        <f t="shared" si="34"/>
        <v>1</v>
      </c>
      <c r="L152" s="1">
        <v>0</v>
      </c>
      <c r="M152" s="17" t="str">
        <f t="shared" si="35"/>
        <v>5.,</v>
      </c>
      <c r="O152" s="1">
        <v>1</v>
      </c>
    </row>
    <row r="153" spans="1:15" x14ac:dyDescent="0.3">
      <c r="A153" s="1" t="str">
        <f>_xlfn.CONCAT("0b",D153:G153, " ", Table2[[#This Row],[D3]:[D0]])</f>
        <v>0b1001 0110</v>
      </c>
      <c r="B153" s="1" t="str">
        <f t="shared" si="26"/>
        <v>0x96</v>
      </c>
      <c r="C153" s="10">
        <v>150</v>
      </c>
      <c r="D153" s="9">
        <f t="shared" si="27"/>
        <v>1</v>
      </c>
      <c r="E153" s="1">
        <f t="shared" si="28"/>
        <v>0</v>
      </c>
      <c r="F153" s="1">
        <f t="shared" si="29"/>
        <v>0</v>
      </c>
      <c r="G153" s="1">
        <f t="shared" si="30"/>
        <v>1</v>
      </c>
      <c r="H153" s="1">
        <f t="shared" si="31"/>
        <v>0</v>
      </c>
      <c r="I153" s="1">
        <f t="shared" si="32"/>
        <v>1</v>
      </c>
      <c r="J153" s="1">
        <f t="shared" si="33"/>
        <v>1</v>
      </c>
      <c r="K153" s="10">
        <f t="shared" si="34"/>
        <v>0</v>
      </c>
      <c r="L153" s="1">
        <v>0</v>
      </c>
      <c r="M153" s="17" t="str">
        <f t="shared" si="35"/>
        <v>6.,</v>
      </c>
      <c r="O153" s="1">
        <v>1</v>
      </c>
    </row>
    <row r="154" spans="1:15" x14ac:dyDescent="0.3">
      <c r="A154" s="1" t="str">
        <f>_xlfn.CONCAT("0b",D154:G154, " ", Table2[[#This Row],[D3]:[D0]])</f>
        <v>0b1001 0111</v>
      </c>
      <c r="B154" s="1" t="str">
        <f t="shared" si="26"/>
        <v>0x97</v>
      </c>
      <c r="C154" s="10">
        <v>151</v>
      </c>
      <c r="D154" s="9">
        <f t="shared" si="27"/>
        <v>1</v>
      </c>
      <c r="E154" s="1">
        <f t="shared" si="28"/>
        <v>0</v>
      </c>
      <c r="F154" s="1">
        <f t="shared" si="29"/>
        <v>0</v>
      </c>
      <c r="G154" s="1">
        <f t="shared" si="30"/>
        <v>1</v>
      </c>
      <c r="H154" s="1">
        <f t="shared" si="31"/>
        <v>0</v>
      </c>
      <c r="I154" s="1">
        <f t="shared" si="32"/>
        <v>1</v>
      </c>
      <c r="J154" s="1">
        <f t="shared" si="33"/>
        <v>1</v>
      </c>
      <c r="K154" s="10">
        <f t="shared" si="34"/>
        <v>1</v>
      </c>
      <c r="L154" s="1">
        <v>0</v>
      </c>
      <c r="M154" s="17" t="str">
        <f t="shared" si="35"/>
        <v>7.,</v>
      </c>
      <c r="O154" s="1">
        <v>1</v>
      </c>
    </row>
    <row r="155" spans="1:15" x14ac:dyDescent="0.3">
      <c r="A155" s="1" t="str">
        <f>_xlfn.CONCAT("0b",D155:G155, " ", Table2[[#This Row],[D3]:[D0]])</f>
        <v>0b1001 1000</v>
      </c>
      <c r="B155" s="1" t="str">
        <f t="shared" si="26"/>
        <v>0x98</v>
      </c>
      <c r="C155" s="10">
        <v>152</v>
      </c>
      <c r="D155" s="9">
        <f t="shared" si="27"/>
        <v>1</v>
      </c>
      <c r="E155" s="1">
        <f t="shared" si="28"/>
        <v>0</v>
      </c>
      <c r="F155" s="1">
        <f t="shared" si="29"/>
        <v>0</v>
      </c>
      <c r="G155" s="1">
        <f t="shared" si="30"/>
        <v>1</v>
      </c>
      <c r="H155" s="1">
        <f t="shared" si="31"/>
        <v>1</v>
      </c>
      <c r="I155" s="1">
        <f t="shared" si="32"/>
        <v>0</v>
      </c>
      <c r="J155" s="1">
        <f t="shared" si="33"/>
        <v>0</v>
      </c>
      <c r="K155" s="10">
        <f t="shared" si="34"/>
        <v>0</v>
      </c>
      <c r="L155" s="1">
        <v>0</v>
      </c>
      <c r="M155" s="17" t="str">
        <f t="shared" si="35"/>
        <v>8.,</v>
      </c>
      <c r="O155" s="1">
        <v>1</v>
      </c>
    </row>
    <row r="156" spans="1:15" x14ac:dyDescent="0.3">
      <c r="A156" s="1" t="str">
        <f>_xlfn.CONCAT("0b",D156:G156, " ", Table2[[#This Row],[D3]:[D0]])</f>
        <v>0b1001 1001</v>
      </c>
      <c r="B156" s="1" t="str">
        <f t="shared" si="26"/>
        <v>0x99</v>
      </c>
      <c r="C156" s="10">
        <v>153</v>
      </c>
      <c r="D156" s="9">
        <f t="shared" si="27"/>
        <v>1</v>
      </c>
      <c r="E156" s="1">
        <f t="shared" si="28"/>
        <v>0</v>
      </c>
      <c r="F156" s="1">
        <f t="shared" si="29"/>
        <v>0</v>
      </c>
      <c r="G156" s="1">
        <f t="shared" si="30"/>
        <v>1</v>
      </c>
      <c r="H156" s="1">
        <f t="shared" si="31"/>
        <v>1</v>
      </c>
      <c r="I156" s="1">
        <f t="shared" si="32"/>
        <v>0</v>
      </c>
      <c r="J156" s="1">
        <f t="shared" si="33"/>
        <v>0</v>
      </c>
      <c r="K156" s="10">
        <f t="shared" si="34"/>
        <v>1</v>
      </c>
      <c r="L156" s="1">
        <v>0</v>
      </c>
      <c r="M156" s="17" t="str">
        <f t="shared" si="35"/>
        <v>9.,</v>
      </c>
      <c r="O156" s="1">
        <v>1</v>
      </c>
    </row>
    <row r="157" spans="1:15" x14ac:dyDescent="0.3">
      <c r="A157" s="1" t="str">
        <f>_xlfn.CONCAT("0b",D157:G157, " ", Table2[[#This Row],[D3]:[D0]])</f>
        <v>0b1001 1010</v>
      </c>
      <c r="B157" s="1" t="str">
        <f t="shared" si="26"/>
        <v>0x9A</v>
      </c>
      <c r="C157" s="10">
        <v>154</v>
      </c>
      <c r="D157" s="9">
        <f t="shared" si="27"/>
        <v>1</v>
      </c>
      <c r="E157" s="1">
        <f t="shared" si="28"/>
        <v>0</v>
      </c>
      <c r="F157" s="1">
        <f t="shared" si="29"/>
        <v>0</v>
      </c>
      <c r="G157" s="1">
        <f t="shared" si="30"/>
        <v>1</v>
      </c>
      <c r="H157" s="1">
        <f t="shared" si="31"/>
        <v>1</v>
      </c>
      <c r="I157" s="1">
        <f t="shared" si="32"/>
        <v>0</v>
      </c>
      <c r="J157" s="1">
        <f t="shared" si="33"/>
        <v>1</v>
      </c>
      <c r="K157" s="10">
        <f t="shared" si="34"/>
        <v>0</v>
      </c>
      <c r="L157" s="1">
        <v>0</v>
      </c>
      <c r="M157" s="17" t="str">
        <f t="shared" si="35"/>
        <v>=.,</v>
      </c>
      <c r="O157" s="1">
        <v>1</v>
      </c>
    </row>
    <row r="158" spans="1:15" x14ac:dyDescent="0.3">
      <c r="A158" s="1" t="str">
        <f>_xlfn.CONCAT("0b",D158:G158, " ", Table2[[#This Row],[D3]:[D0]])</f>
        <v>0b1001 1011</v>
      </c>
      <c r="B158" s="1" t="str">
        <f t="shared" si="26"/>
        <v>0x9B</v>
      </c>
      <c r="C158" s="10">
        <v>155</v>
      </c>
      <c r="D158" s="9">
        <f t="shared" si="27"/>
        <v>1</v>
      </c>
      <c r="E158" s="1">
        <f t="shared" si="28"/>
        <v>0</v>
      </c>
      <c r="F158" s="1">
        <f t="shared" si="29"/>
        <v>0</v>
      </c>
      <c r="G158" s="1">
        <f t="shared" si="30"/>
        <v>1</v>
      </c>
      <c r="H158" s="1">
        <f t="shared" si="31"/>
        <v>1</v>
      </c>
      <c r="I158" s="1">
        <f t="shared" si="32"/>
        <v>0</v>
      </c>
      <c r="J158" s="1">
        <f t="shared" si="33"/>
        <v>1</v>
      </c>
      <c r="K158" s="10">
        <f t="shared" si="34"/>
        <v>1</v>
      </c>
      <c r="L158" s="1">
        <v>0</v>
      </c>
      <c r="M158" s="17" t="str">
        <f t="shared" si="35"/>
        <v>UNKNOWN.,</v>
      </c>
      <c r="O158" s="1">
        <v>1</v>
      </c>
    </row>
    <row r="159" spans="1:15" x14ac:dyDescent="0.3">
      <c r="A159" s="1" t="str">
        <f>_xlfn.CONCAT("0b",D159:G159, " ", Table2[[#This Row],[D3]:[D0]])</f>
        <v>0b1001 1100</v>
      </c>
      <c r="B159" s="1" t="str">
        <f t="shared" si="26"/>
        <v>0x9C</v>
      </c>
      <c r="C159" s="10">
        <v>156</v>
      </c>
      <c r="D159" s="9">
        <f t="shared" si="27"/>
        <v>1</v>
      </c>
      <c r="E159" s="1">
        <f t="shared" si="28"/>
        <v>0</v>
      </c>
      <c r="F159" s="1">
        <f t="shared" si="29"/>
        <v>0</v>
      </c>
      <c r="G159" s="1">
        <f t="shared" si="30"/>
        <v>1</v>
      </c>
      <c r="H159" s="1">
        <f t="shared" si="31"/>
        <v>1</v>
      </c>
      <c r="I159" s="1">
        <f t="shared" si="32"/>
        <v>1</v>
      </c>
      <c r="J159" s="1">
        <f t="shared" si="33"/>
        <v>0</v>
      </c>
      <c r="K159" s="10">
        <f t="shared" si="34"/>
        <v>0</v>
      </c>
      <c r="L159" s="1">
        <v>0</v>
      </c>
      <c r="M159" s="17" t="str">
        <f t="shared" si="35"/>
        <v>&lt;.,</v>
      </c>
      <c r="O159" s="1">
        <v>1</v>
      </c>
    </row>
    <row r="160" spans="1:15" x14ac:dyDescent="0.3">
      <c r="A160" s="1" t="str">
        <f>_xlfn.CONCAT("0b",D160:G160, " ", Table2[[#This Row],[D3]:[D0]])</f>
        <v>0b1001 1101</v>
      </c>
      <c r="B160" s="1" t="str">
        <f t="shared" si="26"/>
        <v>0x9D</v>
      </c>
      <c r="C160" s="10">
        <v>157</v>
      </c>
      <c r="D160" s="9">
        <f t="shared" si="27"/>
        <v>1</v>
      </c>
      <c r="E160" s="1">
        <f t="shared" si="28"/>
        <v>0</v>
      </c>
      <c r="F160" s="1">
        <f t="shared" si="29"/>
        <v>0</v>
      </c>
      <c r="G160" s="1">
        <f t="shared" si="30"/>
        <v>1</v>
      </c>
      <c r="H160" s="1">
        <f t="shared" si="31"/>
        <v>1</v>
      </c>
      <c r="I160" s="1">
        <f t="shared" si="32"/>
        <v>1</v>
      </c>
      <c r="J160" s="1">
        <f t="shared" si="33"/>
        <v>0</v>
      </c>
      <c r="K160" s="10">
        <f t="shared" si="34"/>
        <v>1</v>
      </c>
      <c r="L160" s="1">
        <v>0</v>
      </c>
      <c r="M160" s="17" t="str">
        <f t="shared" si="35"/>
        <v>=.,</v>
      </c>
      <c r="O160" s="1">
        <v>1</v>
      </c>
    </row>
    <row r="161" spans="1:15" x14ac:dyDescent="0.3">
      <c r="A161" s="1" t="str">
        <f>_xlfn.CONCAT("0b",D161:G161, " ", Table2[[#This Row],[D3]:[D0]])</f>
        <v>0b1001 1110</v>
      </c>
      <c r="B161" s="1" t="str">
        <f t="shared" si="26"/>
        <v>0x9E</v>
      </c>
      <c r="C161" s="10">
        <v>158</v>
      </c>
      <c r="D161" s="9">
        <f t="shared" si="27"/>
        <v>1</v>
      </c>
      <c r="E161" s="1">
        <f t="shared" si="28"/>
        <v>0</v>
      </c>
      <c r="F161" s="1">
        <f t="shared" si="29"/>
        <v>0</v>
      </c>
      <c r="G161" s="1">
        <f t="shared" si="30"/>
        <v>1</v>
      </c>
      <c r="H161" s="1">
        <f t="shared" si="31"/>
        <v>1</v>
      </c>
      <c r="I161" s="1">
        <f t="shared" si="32"/>
        <v>1</v>
      </c>
      <c r="J161" s="1">
        <f t="shared" si="33"/>
        <v>1</v>
      </c>
      <c r="K161" s="10">
        <f t="shared" si="34"/>
        <v>0</v>
      </c>
      <c r="L161" s="1">
        <v>0</v>
      </c>
      <c r="M161" s="17" t="str">
        <f t="shared" si="35"/>
        <v>&gt;.,</v>
      </c>
      <c r="O161" s="1">
        <v>1</v>
      </c>
    </row>
    <row r="162" spans="1:15" x14ac:dyDescent="0.3">
      <c r="A162" s="1" t="str">
        <f>_xlfn.CONCAT("0b",D162:G162, " ", Table2[[#This Row],[D3]:[D0]])</f>
        <v>0b1001 1111</v>
      </c>
      <c r="B162" s="1" t="str">
        <f t="shared" si="26"/>
        <v>0x9F</v>
      </c>
      <c r="C162" s="10">
        <v>159</v>
      </c>
      <c r="D162" s="9">
        <f t="shared" si="27"/>
        <v>1</v>
      </c>
      <c r="E162" s="1">
        <f t="shared" si="28"/>
        <v>0</v>
      </c>
      <c r="F162" s="1">
        <f t="shared" si="29"/>
        <v>0</v>
      </c>
      <c r="G162" s="1">
        <f t="shared" si="30"/>
        <v>1</v>
      </c>
      <c r="H162" s="1">
        <f t="shared" si="31"/>
        <v>1</v>
      </c>
      <c r="I162" s="1">
        <f t="shared" si="32"/>
        <v>1</v>
      </c>
      <c r="J162" s="1">
        <f t="shared" si="33"/>
        <v>1</v>
      </c>
      <c r="K162" s="10">
        <f t="shared" si="34"/>
        <v>1</v>
      </c>
      <c r="L162" s="1">
        <v>0</v>
      </c>
      <c r="M162" s="17" t="str">
        <f t="shared" si="35"/>
        <v>?.,</v>
      </c>
      <c r="O162" s="1">
        <v>1</v>
      </c>
    </row>
    <row r="163" spans="1:15" x14ac:dyDescent="0.3">
      <c r="A163" s="1" t="str">
        <f>_xlfn.CONCAT("0b",D163:G163, " ", Table2[[#This Row],[D3]:[D0]])</f>
        <v>0b1010 0000</v>
      </c>
      <c r="B163" s="1" t="str">
        <f t="shared" si="26"/>
        <v>0xA0</v>
      </c>
      <c r="C163" s="10">
        <v>160</v>
      </c>
      <c r="D163" s="9">
        <f t="shared" si="27"/>
        <v>1</v>
      </c>
      <c r="E163" s="1">
        <f t="shared" si="28"/>
        <v>0</v>
      </c>
      <c r="F163" s="1">
        <f t="shared" si="29"/>
        <v>1</v>
      </c>
      <c r="G163" s="1">
        <f t="shared" si="30"/>
        <v>0</v>
      </c>
      <c r="H163" s="1">
        <f t="shared" si="31"/>
        <v>0</v>
      </c>
      <c r="I163" s="1">
        <f t="shared" si="32"/>
        <v>0</v>
      </c>
      <c r="J163" s="1">
        <f t="shared" si="33"/>
        <v>0</v>
      </c>
      <c r="K163" s="10">
        <f t="shared" si="34"/>
        <v>0</v>
      </c>
      <c r="L163" s="1">
        <v>0</v>
      </c>
      <c r="M163" s="17" t="s">
        <v>43</v>
      </c>
      <c r="O163" s="1">
        <v>1</v>
      </c>
    </row>
    <row r="164" spans="1:15" x14ac:dyDescent="0.3">
      <c r="A164" s="1" t="str">
        <f>_xlfn.CONCAT("0b",D164:G164, " ", Table2[[#This Row],[D3]:[D0]])</f>
        <v>0b1010 0001</v>
      </c>
      <c r="B164" s="1" t="str">
        <f t="shared" si="26"/>
        <v>0xA1</v>
      </c>
      <c r="C164" s="10">
        <v>161</v>
      </c>
      <c r="D164" s="9">
        <f t="shared" si="27"/>
        <v>1</v>
      </c>
      <c r="E164" s="1">
        <f t="shared" si="28"/>
        <v>0</v>
      </c>
      <c r="F164" s="1">
        <f t="shared" si="29"/>
        <v>1</v>
      </c>
      <c r="G164" s="1">
        <f t="shared" si="30"/>
        <v>0</v>
      </c>
      <c r="H164" s="1">
        <f t="shared" si="31"/>
        <v>0</v>
      </c>
      <c r="I164" s="1">
        <f t="shared" si="32"/>
        <v>0</v>
      </c>
      <c r="J164" s="1">
        <f t="shared" si="33"/>
        <v>0</v>
      </c>
      <c r="K164" s="10">
        <f t="shared" si="34"/>
        <v>1</v>
      </c>
      <c r="L164" s="1">
        <v>0</v>
      </c>
      <c r="M164" s="17" t="str">
        <f>_xlfn.CONCAT(M36,".")</f>
        <v>𝛻.</v>
      </c>
      <c r="O164" s="1">
        <v>1</v>
      </c>
    </row>
    <row r="165" spans="1:15" x14ac:dyDescent="0.3">
      <c r="A165" s="1" t="str">
        <f>_xlfn.CONCAT("0b",D165:G165, " ", Table2[[#This Row],[D3]:[D0]])</f>
        <v>0b1010 0010</v>
      </c>
      <c r="B165" s="1" t="str">
        <f t="shared" si="26"/>
        <v>0xA2</v>
      </c>
      <c r="C165" s="10">
        <v>162</v>
      </c>
      <c r="D165" s="9">
        <f t="shared" si="27"/>
        <v>1</v>
      </c>
      <c r="E165" s="1">
        <f t="shared" si="28"/>
        <v>0</v>
      </c>
      <c r="F165" s="1">
        <f t="shared" si="29"/>
        <v>1</v>
      </c>
      <c r="G165" s="1">
        <f t="shared" si="30"/>
        <v>0</v>
      </c>
      <c r="H165" s="1">
        <f t="shared" si="31"/>
        <v>0</v>
      </c>
      <c r="I165" s="1">
        <f t="shared" si="32"/>
        <v>0</v>
      </c>
      <c r="J165" s="1">
        <f t="shared" si="33"/>
        <v>1</v>
      </c>
      <c r="K165" s="10">
        <f t="shared" si="34"/>
        <v>0</v>
      </c>
      <c r="L165" s="1">
        <v>0</v>
      </c>
      <c r="M165" s="17" t="str">
        <f t="shared" ref="M165:M227" si="36">_xlfn.CONCAT(M37,".")</f>
        <v>".</v>
      </c>
      <c r="O165" s="1">
        <v>1</v>
      </c>
    </row>
    <row r="166" spans="1:15" x14ac:dyDescent="0.3">
      <c r="A166" s="1" t="str">
        <f>_xlfn.CONCAT("0b",D166:G166, " ", Table2[[#This Row],[D3]:[D0]])</f>
        <v>0b1010 0011</v>
      </c>
      <c r="B166" s="1" t="str">
        <f t="shared" si="26"/>
        <v>0xA3</v>
      </c>
      <c r="C166" s="10">
        <v>163</v>
      </c>
      <c r="D166" s="9">
        <f t="shared" si="27"/>
        <v>1</v>
      </c>
      <c r="E166" s="1">
        <f t="shared" si="28"/>
        <v>0</v>
      </c>
      <c r="F166" s="1">
        <f t="shared" si="29"/>
        <v>1</v>
      </c>
      <c r="G166" s="1">
        <f t="shared" si="30"/>
        <v>0</v>
      </c>
      <c r="H166" s="1">
        <f t="shared" si="31"/>
        <v>0</v>
      </c>
      <c r="I166" s="1">
        <f t="shared" si="32"/>
        <v>0</v>
      </c>
      <c r="J166" s="1">
        <f t="shared" si="33"/>
        <v>1</v>
      </c>
      <c r="K166" s="10">
        <f t="shared" si="34"/>
        <v>1</v>
      </c>
      <c r="L166" s="1">
        <v>0</v>
      </c>
      <c r="M166" s="17" t="str">
        <f t="shared" si="36"/>
        <v>≡.</v>
      </c>
      <c r="O166" s="1">
        <v>1</v>
      </c>
    </row>
    <row r="167" spans="1:15" x14ac:dyDescent="0.3">
      <c r="A167" s="1" t="str">
        <f>_xlfn.CONCAT("0b",D167:G167, " ", Table2[[#This Row],[D3]:[D0]])</f>
        <v>0b1010 0100</v>
      </c>
      <c r="B167" s="1" t="str">
        <f t="shared" si="26"/>
        <v>0xA4</v>
      </c>
      <c r="C167" s="10">
        <v>164</v>
      </c>
      <c r="D167" s="9">
        <f t="shared" si="27"/>
        <v>1</v>
      </c>
      <c r="E167" s="1">
        <f t="shared" si="28"/>
        <v>0</v>
      </c>
      <c r="F167" s="1">
        <f t="shared" si="29"/>
        <v>1</v>
      </c>
      <c r="G167" s="1">
        <f t="shared" si="30"/>
        <v>0</v>
      </c>
      <c r="H167" s="1">
        <f t="shared" si="31"/>
        <v>0</v>
      </c>
      <c r="I167" s="1">
        <f t="shared" si="32"/>
        <v>1</v>
      </c>
      <c r="J167" s="1">
        <f t="shared" si="33"/>
        <v>0</v>
      </c>
      <c r="K167" s="10">
        <f t="shared" si="34"/>
        <v>0</v>
      </c>
      <c r="L167" s="1">
        <v>0</v>
      </c>
      <c r="M167" s="17" t="str">
        <f t="shared" si="36"/>
        <v>$.</v>
      </c>
      <c r="O167" s="1">
        <v>1</v>
      </c>
    </row>
    <row r="168" spans="1:15" x14ac:dyDescent="0.3">
      <c r="A168" s="1" t="str">
        <f>_xlfn.CONCAT("0b",D168:G168, " ", Table2[[#This Row],[D3]:[D0]])</f>
        <v>0b1010 0101</v>
      </c>
      <c r="B168" s="1" t="str">
        <f t="shared" si="26"/>
        <v>0xA5</v>
      </c>
      <c r="C168" s="10">
        <v>165</v>
      </c>
      <c r="D168" s="9">
        <f t="shared" si="27"/>
        <v>1</v>
      </c>
      <c r="E168" s="1">
        <f t="shared" si="28"/>
        <v>0</v>
      </c>
      <c r="F168" s="1">
        <f t="shared" si="29"/>
        <v>1</v>
      </c>
      <c r="G168" s="1">
        <f t="shared" si="30"/>
        <v>0</v>
      </c>
      <c r="H168" s="1">
        <f t="shared" si="31"/>
        <v>0</v>
      </c>
      <c r="I168" s="1">
        <f t="shared" si="32"/>
        <v>1</v>
      </c>
      <c r="J168" s="1">
        <f t="shared" si="33"/>
        <v>0</v>
      </c>
      <c r="K168" s="10">
        <f t="shared" si="34"/>
        <v>1</v>
      </c>
      <c r="L168" s="1">
        <v>0</v>
      </c>
      <c r="M168" s="17" t="str">
        <f t="shared" si="36"/>
        <v>UNKNOWN.</v>
      </c>
      <c r="O168" s="1">
        <v>1</v>
      </c>
    </row>
    <row r="169" spans="1:15" x14ac:dyDescent="0.3">
      <c r="A169" s="1" t="str">
        <f>_xlfn.CONCAT("0b",D169:G169, " ", Table2[[#This Row],[D3]:[D0]])</f>
        <v>0b1010 0110</v>
      </c>
      <c r="B169" s="1" t="str">
        <f t="shared" si="26"/>
        <v>0xA6</v>
      </c>
      <c r="C169" s="10">
        <v>166</v>
      </c>
      <c r="D169" s="9">
        <f t="shared" si="27"/>
        <v>1</v>
      </c>
      <c r="E169" s="1">
        <f t="shared" si="28"/>
        <v>0</v>
      </c>
      <c r="F169" s="1">
        <f t="shared" si="29"/>
        <v>1</v>
      </c>
      <c r="G169" s="1">
        <f t="shared" si="30"/>
        <v>0</v>
      </c>
      <c r="H169" s="1">
        <f t="shared" si="31"/>
        <v>0</v>
      </c>
      <c r="I169" s="1">
        <f t="shared" si="32"/>
        <v>1</v>
      </c>
      <c r="J169" s="1">
        <f t="shared" si="33"/>
        <v>1</v>
      </c>
      <c r="K169" s="10">
        <f t="shared" si="34"/>
        <v>0</v>
      </c>
      <c r="L169" s="1">
        <v>0</v>
      </c>
      <c r="M169" s="17" t="str">
        <f t="shared" si="36"/>
        <v>UNKNOWN.</v>
      </c>
      <c r="O169" s="1">
        <v>1</v>
      </c>
    </row>
    <row r="170" spans="1:15" x14ac:dyDescent="0.3">
      <c r="A170" s="1" t="str">
        <f>_xlfn.CONCAT("0b",D170:G170, " ", Table2[[#This Row],[D3]:[D0]])</f>
        <v>0b1010 0111</v>
      </c>
      <c r="B170" s="1" t="str">
        <f t="shared" si="26"/>
        <v>0xA7</v>
      </c>
      <c r="C170" s="10">
        <v>167</v>
      </c>
      <c r="D170" s="9">
        <f t="shared" si="27"/>
        <v>1</v>
      </c>
      <c r="E170" s="1">
        <f t="shared" si="28"/>
        <v>0</v>
      </c>
      <c r="F170" s="1">
        <f t="shared" si="29"/>
        <v>1</v>
      </c>
      <c r="G170" s="1">
        <f t="shared" si="30"/>
        <v>0</v>
      </c>
      <c r="H170" s="1">
        <f t="shared" si="31"/>
        <v>0</v>
      </c>
      <c r="I170" s="1">
        <f t="shared" si="32"/>
        <v>1</v>
      </c>
      <c r="J170" s="1">
        <f t="shared" si="33"/>
        <v>1</v>
      </c>
      <c r="K170" s="10">
        <f t="shared" si="34"/>
        <v>1</v>
      </c>
      <c r="L170" s="1">
        <v>0</v>
      </c>
      <c r="M170" s="17" t="str">
        <f t="shared" si="36"/>
        <v>'.</v>
      </c>
      <c r="O170" s="1">
        <v>1</v>
      </c>
    </row>
    <row r="171" spans="1:15" x14ac:dyDescent="0.3">
      <c r="A171" s="1" t="str">
        <f>_xlfn.CONCAT("0b",D171:G171, " ", Table2[[#This Row],[D3]:[D0]])</f>
        <v>0b1010 1000</v>
      </c>
      <c r="B171" s="1" t="str">
        <f t="shared" si="26"/>
        <v>0xA8</v>
      </c>
      <c r="C171" s="10">
        <v>168</v>
      </c>
      <c r="D171" s="9">
        <f t="shared" si="27"/>
        <v>1</v>
      </c>
      <c r="E171" s="1">
        <f t="shared" si="28"/>
        <v>0</v>
      </c>
      <c r="F171" s="1">
        <f t="shared" si="29"/>
        <v>1</v>
      </c>
      <c r="G171" s="1">
        <f t="shared" si="30"/>
        <v>0</v>
      </c>
      <c r="H171" s="1">
        <f t="shared" si="31"/>
        <v>1</v>
      </c>
      <c r="I171" s="1">
        <f t="shared" si="32"/>
        <v>0</v>
      </c>
      <c r="J171" s="1">
        <f t="shared" si="33"/>
        <v>0</v>
      </c>
      <c r="K171" s="10">
        <f t="shared" si="34"/>
        <v>0</v>
      </c>
      <c r="L171" s="1">
        <v>0</v>
      </c>
      <c r="M171" s="17" t="str">
        <f t="shared" si="36"/>
        <v>⚟.</v>
      </c>
      <c r="O171" s="1">
        <v>1</v>
      </c>
    </row>
    <row r="172" spans="1:15" x14ac:dyDescent="0.3">
      <c r="A172" s="1" t="str">
        <f>_xlfn.CONCAT("0b",D172:G172, " ", Table2[[#This Row],[D3]:[D0]])</f>
        <v>0b1010 1001</v>
      </c>
      <c r="B172" s="1" t="str">
        <f t="shared" si="26"/>
        <v>0xA9</v>
      </c>
      <c r="C172" s="10">
        <v>169</v>
      </c>
      <c r="D172" s="9">
        <f t="shared" si="27"/>
        <v>1</v>
      </c>
      <c r="E172" s="1">
        <f t="shared" si="28"/>
        <v>0</v>
      </c>
      <c r="F172" s="1">
        <f t="shared" si="29"/>
        <v>1</v>
      </c>
      <c r="G172" s="1">
        <f t="shared" si="30"/>
        <v>0</v>
      </c>
      <c r="H172" s="1">
        <f t="shared" si="31"/>
        <v>1</v>
      </c>
      <c r="I172" s="1">
        <f t="shared" si="32"/>
        <v>0</v>
      </c>
      <c r="J172" s="1">
        <f t="shared" si="33"/>
        <v>0</v>
      </c>
      <c r="K172" s="10">
        <f t="shared" si="34"/>
        <v>1</v>
      </c>
      <c r="L172" s="1">
        <v>0</v>
      </c>
      <c r="M172" s="17" t="str">
        <f t="shared" si="36"/>
        <v>⪫.</v>
      </c>
      <c r="O172" s="1">
        <v>1</v>
      </c>
    </row>
    <row r="173" spans="1:15" x14ac:dyDescent="0.3">
      <c r="A173" s="1" t="str">
        <f>_xlfn.CONCAT("0b",D173:G173, " ", Table2[[#This Row],[D3]:[D0]])</f>
        <v>0b1010 1010</v>
      </c>
      <c r="B173" s="1" t="str">
        <f t="shared" si="26"/>
        <v>0xAA</v>
      </c>
      <c r="C173" s="10">
        <v>170</v>
      </c>
      <c r="D173" s="9">
        <f t="shared" si="27"/>
        <v>1</v>
      </c>
      <c r="E173" s="1">
        <f t="shared" si="28"/>
        <v>0</v>
      </c>
      <c r="F173" s="1">
        <f t="shared" si="29"/>
        <v>1</v>
      </c>
      <c r="G173" s="1">
        <f t="shared" si="30"/>
        <v>0</v>
      </c>
      <c r="H173" s="1">
        <f t="shared" si="31"/>
        <v>1</v>
      </c>
      <c r="I173" s="1">
        <f t="shared" si="32"/>
        <v>0</v>
      </c>
      <c r="J173" s="1">
        <f t="shared" si="33"/>
        <v>1</v>
      </c>
      <c r="K173" s="10">
        <f t="shared" si="34"/>
        <v>0</v>
      </c>
      <c r="L173" s="1">
        <v>0</v>
      </c>
      <c r="M173" s="17" t="str">
        <f t="shared" si="36"/>
        <v>*.</v>
      </c>
      <c r="O173" s="1">
        <v>1</v>
      </c>
    </row>
    <row r="174" spans="1:15" x14ac:dyDescent="0.3">
      <c r="A174" s="1" t="str">
        <f>_xlfn.CONCAT("0b",D174:G174, " ", Table2[[#This Row],[D3]:[D0]])</f>
        <v>0b1010 1011</v>
      </c>
      <c r="B174" s="1" t="str">
        <f t="shared" si="26"/>
        <v>0xAB</v>
      </c>
      <c r="C174" s="10">
        <v>171</v>
      </c>
      <c r="D174" s="9">
        <f t="shared" si="27"/>
        <v>1</v>
      </c>
      <c r="E174" s="1">
        <f t="shared" si="28"/>
        <v>0</v>
      </c>
      <c r="F174" s="1">
        <f t="shared" si="29"/>
        <v>1</v>
      </c>
      <c r="G174" s="1">
        <f t="shared" si="30"/>
        <v>0</v>
      </c>
      <c r="H174" s="1">
        <f t="shared" si="31"/>
        <v>1</v>
      </c>
      <c r="I174" s="1">
        <f t="shared" si="32"/>
        <v>0</v>
      </c>
      <c r="J174" s="1">
        <f t="shared" si="33"/>
        <v>1</v>
      </c>
      <c r="K174" s="10">
        <f t="shared" si="34"/>
        <v>1</v>
      </c>
      <c r="L174" s="1">
        <v>0</v>
      </c>
      <c r="M174" s="17" t="str">
        <f t="shared" si="36"/>
        <v>+.</v>
      </c>
      <c r="O174" s="1">
        <v>1</v>
      </c>
    </row>
    <row r="175" spans="1:15" x14ac:dyDescent="0.3">
      <c r="A175" s="1" t="str">
        <f>_xlfn.CONCAT("0b",D175:G175, " ", Table2[[#This Row],[D3]:[D0]])</f>
        <v>0b1010 1100</v>
      </c>
      <c r="B175" s="1" t="str">
        <f t="shared" si="26"/>
        <v>0xAC</v>
      </c>
      <c r="C175" s="10">
        <v>172</v>
      </c>
      <c r="D175" s="9">
        <f t="shared" si="27"/>
        <v>1</v>
      </c>
      <c r="E175" s="1">
        <f t="shared" si="28"/>
        <v>0</v>
      </c>
      <c r="F175" s="1">
        <f t="shared" si="29"/>
        <v>1</v>
      </c>
      <c r="G175" s="1">
        <f t="shared" si="30"/>
        <v>0</v>
      </c>
      <c r="H175" s="1">
        <f t="shared" si="31"/>
        <v>1</v>
      </c>
      <c r="I175" s="1">
        <f t="shared" si="32"/>
        <v>1</v>
      </c>
      <c r="J175" s="1">
        <f t="shared" si="33"/>
        <v>0</v>
      </c>
      <c r="K175" s="10">
        <f t="shared" si="34"/>
        <v>0</v>
      </c>
      <c r="L175" s="1">
        <v>0</v>
      </c>
      <c r="M175" s="17" t="str">
        <f t="shared" si="36"/>
        <v>,.</v>
      </c>
      <c r="O175" s="1">
        <v>1</v>
      </c>
    </row>
    <row r="176" spans="1:15" x14ac:dyDescent="0.3">
      <c r="A176" s="1" t="str">
        <f>_xlfn.CONCAT("0b",D176:G176, " ", Table2[[#This Row],[D3]:[D0]])</f>
        <v>0b1010 1101</v>
      </c>
      <c r="B176" s="1" t="str">
        <f t="shared" si="26"/>
        <v>0xAD</v>
      </c>
      <c r="C176" s="10">
        <v>173</v>
      </c>
      <c r="D176" s="9">
        <f t="shared" si="27"/>
        <v>1</v>
      </c>
      <c r="E176" s="1">
        <f t="shared" si="28"/>
        <v>0</v>
      </c>
      <c r="F176" s="1">
        <f t="shared" si="29"/>
        <v>1</v>
      </c>
      <c r="G176" s="1">
        <f t="shared" si="30"/>
        <v>0</v>
      </c>
      <c r="H176" s="1">
        <f t="shared" si="31"/>
        <v>1</v>
      </c>
      <c r="I176" s="1">
        <f t="shared" si="32"/>
        <v>1</v>
      </c>
      <c r="J176" s="1">
        <f t="shared" si="33"/>
        <v>0</v>
      </c>
      <c r="K176" s="10">
        <f t="shared" si="34"/>
        <v>1</v>
      </c>
      <c r="L176" s="1">
        <v>0</v>
      </c>
      <c r="M176" s="17" t="str">
        <f t="shared" si="36"/>
        <v>-.</v>
      </c>
      <c r="O176" s="1">
        <v>1</v>
      </c>
    </row>
    <row r="177" spans="1:15" x14ac:dyDescent="0.3">
      <c r="A177" s="1" t="str">
        <f>_xlfn.CONCAT("0b",D177:G177, " ", Table2[[#This Row],[D3]:[D0]])</f>
        <v>0b1010 1110</v>
      </c>
      <c r="B177" s="1" t="str">
        <f t="shared" si="26"/>
        <v>0xAE</v>
      </c>
      <c r="C177" s="10">
        <v>174</v>
      </c>
      <c r="D177" s="9">
        <f t="shared" si="27"/>
        <v>1</v>
      </c>
      <c r="E177" s="1">
        <f t="shared" si="28"/>
        <v>0</v>
      </c>
      <c r="F177" s="1">
        <f t="shared" si="29"/>
        <v>1</v>
      </c>
      <c r="G177" s="1">
        <f t="shared" si="30"/>
        <v>0</v>
      </c>
      <c r="H177" s="1">
        <f t="shared" si="31"/>
        <v>1</v>
      </c>
      <c r="I177" s="1">
        <f t="shared" si="32"/>
        <v>1</v>
      </c>
      <c r="J177" s="1">
        <f t="shared" si="33"/>
        <v>1</v>
      </c>
      <c r="K177" s="10">
        <f t="shared" si="34"/>
        <v>0</v>
      </c>
      <c r="L177" s="1">
        <v>0</v>
      </c>
      <c r="M177" s="17" t="s">
        <v>43</v>
      </c>
      <c r="O177" s="1">
        <v>1</v>
      </c>
    </row>
    <row r="178" spans="1:15" x14ac:dyDescent="0.3">
      <c r="A178" s="1" t="str">
        <f>_xlfn.CONCAT("0b",D178:G178, " ", Table2[[#This Row],[D3]:[D0]])</f>
        <v>0b1010 1111</v>
      </c>
      <c r="B178" s="1" t="str">
        <f t="shared" si="26"/>
        <v>0xAF</v>
      </c>
      <c r="C178" s="10">
        <v>175</v>
      </c>
      <c r="D178" s="9">
        <f t="shared" si="27"/>
        <v>1</v>
      </c>
      <c r="E178" s="1">
        <f t="shared" si="28"/>
        <v>0</v>
      </c>
      <c r="F178" s="1">
        <f t="shared" si="29"/>
        <v>1</v>
      </c>
      <c r="G178" s="1">
        <f t="shared" si="30"/>
        <v>0</v>
      </c>
      <c r="H178" s="1">
        <f t="shared" si="31"/>
        <v>1</v>
      </c>
      <c r="I178" s="1">
        <f t="shared" si="32"/>
        <v>1</v>
      </c>
      <c r="J178" s="1">
        <f t="shared" si="33"/>
        <v>1</v>
      </c>
      <c r="K178" s="10">
        <f t="shared" si="34"/>
        <v>1</v>
      </c>
      <c r="L178" s="1">
        <v>0</v>
      </c>
      <c r="M178" s="17" t="str">
        <f t="shared" si="36"/>
        <v>/.</v>
      </c>
      <c r="O178" s="1">
        <v>1</v>
      </c>
    </row>
    <row r="179" spans="1:15" x14ac:dyDescent="0.3">
      <c r="A179" s="1" t="str">
        <f>_xlfn.CONCAT("0b",D179:G179, " ", Table2[[#This Row],[D3]:[D0]])</f>
        <v>0b1011 0000</v>
      </c>
      <c r="B179" s="1" t="str">
        <f t="shared" si="26"/>
        <v>0xB0</v>
      </c>
      <c r="C179" s="10">
        <v>176</v>
      </c>
      <c r="D179" s="9">
        <f t="shared" si="27"/>
        <v>1</v>
      </c>
      <c r="E179" s="1">
        <f t="shared" si="28"/>
        <v>0</v>
      </c>
      <c r="F179" s="1">
        <f t="shared" si="29"/>
        <v>1</v>
      </c>
      <c r="G179" s="1">
        <f t="shared" si="30"/>
        <v>1</v>
      </c>
      <c r="H179" s="1">
        <f t="shared" si="31"/>
        <v>0</v>
      </c>
      <c r="I179" s="1">
        <f t="shared" si="32"/>
        <v>0</v>
      </c>
      <c r="J179" s="1">
        <f t="shared" si="33"/>
        <v>0</v>
      </c>
      <c r="K179" s="10">
        <f t="shared" si="34"/>
        <v>0</v>
      </c>
      <c r="L179" s="1">
        <v>0</v>
      </c>
      <c r="M179" s="17" t="str">
        <f t="shared" si="36"/>
        <v>0.</v>
      </c>
      <c r="O179" s="1">
        <v>1</v>
      </c>
    </row>
    <row r="180" spans="1:15" x14ac:dyDescent="0.3">
      <c r="A180" s="1" t="str">
        <f>_xlfn.CONCAT("0b",D180:G180, " ", Table2[[#This Row],[D3]:[D0]])</f>
        <v>0b1011 0001</v>
      </c>
      <c r="B180" s="1" t="str">
        <f t="shared" si="26"/>
        <v>0xB1</v>
      </c>
      <c r="C180" s="10">
        <v>177</v>
      </c>
      <c r="D180" s="9">
        <f t="shared" si="27"/>
        <v>1</v>
      </c>
      <c r="E180" s="1">
        <f t="shared" si="28"/>
        <v>0</v>
      </c>
      <c r="F180" s="1">
        <f t="shared" si="29"/>
        <v>1</v>
      </c>
      <c r="G180" s="1">
        <f t="shared" si="30"/>
        <v>1</v>
      </c>
      <c r="H180" s="1">
        <f t="shared" si="31"/>
        <v>0</v>
      </c>
      <c r="I180" s="1">
        <f t="shared" si="32"/>
        <v>0</v>
      </c>
      <c r="J180" s="1">
        <f t="shared" si="33"/>
        <v>0</v>
      </c>
      <c r="K180" s="10">
        <f t="shared" si="34"/>
        <v>1</v>
      </c>
      <c r="L180" s="1">
        <v>0</v>
      </c>
      <c r="M180" s="17" t="str">
        <f t="shared" si="36"/>
        <v>1.</v>
      </c>
      <c r="O180" s="1">
        <v>1</v>
      </c>
    </row>
    <row r="181" spans="1:15" x14ac:dyDescent="0.3">
      <c r="A181" s="1" t="str">
        <f>_xlfn.CONCAT("0b",D181:G181, " ", Table2[[#This Row],[D3]:[D0]])</f>
        <v>0b1011 0010</v>
      </c>
      <c r="B181" s="1" t="str">
        <f t="shared" si="26"/>
        <v>0xB2</v>
      </c>
      <c r="C181" s="10">
        <v>178</v>
      </c>
      <c r="D181" s="9">
        <f t="shared" si="27"/>
        <v>1</v>
      </c>
      <c r="E181" s="1">
        <f t="shared" si="28"/>
        <v>0</v>
      </c>
      <c r="F181" s="1">
        <f t="shared" si="29"/>
        <v>1</v>
      </c>
      <c r="G181" s="1">
        <f t="shared" si="30"/>
        <v>1</v>
      </c>
      <c r="H181" s="1">
        <f t="shared" si="31"/>
        <v>0</v>
      </c>
      <c r="I181" s="1">
        <f t="shared" si="32"/>
        <v>0</v>
      </c>
      <c r="J181" s="1">
        <f t="shared" si="33"/>
        <v>1</v>
      </c>
      <c r="K181" s="10">
        <f t="shared" si="34"/>
        <v>0</v>
      </c>
      <c r="L181" s="1">
        <v>0</v>
      </c>
      <c r="M181" s="17" t="str">
        <f t="shared" si="36"/>
        <v>2.</v>
      </c>
      <c r="O181" s="1">
        <v>1</v>
      </c>
    </row>
    <row r="182" spans="1:15" x14ac:dyDescent="0.3">
      <c r="A182" s="1" t="str">
        <f>_xlfn.CONCAT("0b",D182:G182, " ", Table2[[#This Row],[D3]:[D0]])</f>
        <v>0b1011 0011</v>
      </c>
      <c r="B182" s="1" t="str">
        <f t="shared" si="26"/>
        <v>0xB3</v>
      </c>
      <c r="C182" s="10">
        <v>179</v>
      </c>
      <c r="D182" s="9">
        <f t="shared" si="27"/>
        <v>1</v>
      </c>
      <c r="E182" s="1">
        <f t="shared" si="28"/>
        <v>0</v>
      </c>
      <c r="F182" s="1">
        <f t="shared" si="29"/>
        <v>1</v>
      </c>
      <c r="G182" s="1">
        <f t="shared" si="30"/>
        <v>1</v>
      </c>
      <c r="H182" s="1">
        <f t="shared" si="31"/>
        <v>0</v>
      </c>
      <c r="I182" s="1">
        <f t="shared" si="32"/>
        <v>0</v>
      </c>
      <c r="J182" s="1">
        <f t="shared" si="33"/>
        <v>1</v>
      </c>
      <c r="K182" s="10">
        <f t="shared" si="34"/>
        <v>1</v>
      </c>
      <c r="L182" s="1">
        <v>0</v>
      </c>
      <c r="M182" s="17" t="str">
        <f t="shared" si="36"/>
        <v>3.</v>
      </c>
      <c r="O182" s="1">
        <v>1</v>
      </c>
    </row>
    <row r="183" spans="1:15" x14ac:dyDescent="0.3">
      <c r="A183" s="1" t="str">
        <f>_xlfn.CONCAT("0b",D183:G183, " ", Table2[[#This Row],[D3]:[D0]])</f>
        <v>0b1011 0100</v>
      </c>
      <c r="B183" s="1" t="str">
        <f t="shared" si="26"/>
        <v>0xB4</v>
      </c>
      <c r="C183" s="10">
        <v>180</v>
      </c>
      <c r="D183" s="9">
        <f t="shared" si="27"/>
        <v>1</v>
      </c>
      <c r="E183" s="1">
        <f t="shared" si="28"/>
        <v>0</v>
      </c>
      <c r="F183" s="1">
        <f t="shared" si="29"/>
        <v>1</v>
      </c>
      <c r="G183" s="1">
        <f t="shared" si="30"/>
        <v>1</v>
      </c>
      <c r="H183" s="1">
        <f t="shared" si="31"/>
        <v>0</v>
      </c>
      <c r="I183" s="1">
        <f t="shared" si="32"/>
        <v>1</v>
      </c>
      <c r="J183" s="1">
        <f t="shared" si="33"/>
        <v>0</v>
      </c>
      <c r="K183" s="10">
        <f t="shared" si="34"/>
        <v>0</v>
      </c>
      <c r="L183" s="1">
        <v>0</v>
      </c>
      <c r="M183" s="17" t="str">
        <f t="shared" si="36"/>
        <v>4.</v>
      </c>
      <c r="O183" s="1">
        <v>1</v>
      </c>
    </row>
    <row r="184" spans="1:15" x14ac:dyDescent="0.3">
      <c r="A184" s="1" t="str">
        <f>_xlfn.CONCAT("0b",D184:G184, " ", Table2[[#This Row],[D3]:[D0]])</f>
        <v>0b1011 0101</v>
      </c>
      <c r="B184" s="1" t="str">
        <f t="shared" si="26"/>
        <v>0xB5</v>
      </c>
      <c r="C184" s="10">
        <v>181</v>
      </c>
      <c r="D184" s="9">
        <f t="shared" si="27"/>
        <v>1</v>
      </c>
      <c r="E184" s="1">
        <f t="shared" si="28"/>
        <v>0</v>
      </c>
      <c r="F184" s="1">
        <f t="shared" si="29"/>
        <v>1</v>
      </c>
      <c r="G184" s="1">
        <f t="shared" si="30"/>
        <v>1</v>
      </c>
      <c r="H184" s="1">
        <f t="shared" si="31"/>
        <v>0</v>
      </c>
      <c r="I184" s="1">
        <f t="shared" si="32"/>
        <v>1</v>
      </c>
      <c r="J184" s="1">
        <f t="shared" si="33"/>
        <v>0</v>
      </c>
      <c r="K184" s="10">
        <f t="shared" si="34"/>
        <v>1</v>
      </c>
      <c r="L184" s="1">
        <v>0</v>
      </c>
      <c r="M184" s="17" t="str">
        <f t="shared" si="36"/>
        <v>5.</v>
      </c>
      <c r="O184" s="1">
        <v>1</v>
      </c>
    </row>
    <row r="185" spans="1:15" x14ac:dyDescent="0.3">
      <c r="A185" s="1" t="str">
        <f>_xlfn.CONCAT("0b",D185:G185, " ", Table2[[#This Row],[D3]:[D0]])</f>
        <v>0b1011 0110</v>
      </c>
      <c r="B185" s="1" t="str">
        <f t="shared" si="26"/>
        <v>0xB6</v>
      </c>
      <c r="C185" s="10">
        <v>182</v>
      </c>
      <c r="D185" s="9">
        <f t="shared" si="27"/>
        <v>1</v>
      </c>
      <c r="E185" s="1">
        <f t="shared" si="28"/>
        <v>0</v>
      </c>
      <c r="F185" s="1">
        <f t="shared" si="29"/>
        <v>1</v>
      </c>
      <c r="G185" s="1">
        <f t="shared" si="30"/>
        <v>1</v>
      </c>
      <c r="H185" s="1">
        <f t="shared" si="31"/>
        <v>0</v>
      </c>
      <c r="I185" s="1">
        <f t="shared" si="32"/>
        <v>1</v>
      </c>
      <c r="J185" s="1">
        <f t="shared" si="33"/>
        <v>1</v>
      </c>
      <c r="K185" s="10">
        <f t="shared" si="34"/>
        <v>0</v>
      </c>
      <c r="L185" s="1">
        <v>0</v>
      </c>
      <c r="M185" s="17" t="str">
        <f t="shared" si="36"/>
        <v>6.</v>
      </c>
      <c r="O185" s="1">
        <v>1</v>
      </c>
    </row>
    <row r="186" spans="1:15" x14ac:dyDescent="0.3">
      <c r="A186" s="1" t="str">
        <f>_xlfn.CONCAT("0b",D186:G186, " ", Table2[[#This Row],[D3]:[D0]])</f>
        <v>0b1011 0111</v>
      </c>
      <c r="B186" s="1" t="str">
        <f t="shared" si="26"/>
        <v>0xB7</v>
      </c>
      <c r="C186" s="10">
        <v>183</v>
      </c>
      <c r="D186" s="9">
        <f t="shared" si="27"/>
        <v>1</v>
      </c>
      <c r="E186" s="1">
        <f t="shared" si="28"/>
        <v>0</v>
      </c>
      <c r="F186" s="1">
        <f t="shared" si="29"/>
        <v>1</v>
      </c>
      <c r="G186" s="1">
        <f t="shared" si="30"/>
        <v>1</v>
      </c>
      <c r="H186" s="1">
        <f t="shared" si="31"/>
        <v>0</v>
      </c>
      <c r="I186" s="1">
        <f t="shared" si="32"/>
        <v>1</v>
      </c>
      <c r="J186" s="1">
        <f t="shared" si="33"/>
        <v>1</v>
      </c>
      <c r="K186" s="10">
        <f t="shared" si="34"/>
        <v>1</v>
      </c>
      <c r="L186" s="1">
        <v>0</v>
      </c>
      <c r="M186" s="17" t="str">
        <f t="shared" si="36"/>
        <v>7.</v>
      </c>
      <c r="O186" s="1">
        <v>1</v>
      </c>
    </row>
    <row r="187" spans="1:15" x14ac:dyDescent="0.3">
      <c r="A187" s="1" t="str">
        <f>_xlfn.CONCAT("0b",D187:G187, " ", Table2[[#This Row],[D3]:[D0]])</f>
        <v>0b1011 1000</v>
      </c>
      <c r="B187" s="1" t="str">
        <f t="shared" si="26"/>
        <v>0xB8</v>
      </c>
      <c r="C187" s="10">
        <v>184</v>
      </c>
      <c r="D187" s="9">
        <f t="shared" si="27"/>
        <v>1</v>
      </c>
      <c r="E187" s="1">
        <f t="shared" si="28"/>
        <v>0</v>
      </c>
      <c r="F187" s="1">
        <f t="shared" si="29"/>
        <v>1</v>
      </c>
      <c r="G187" s="1">
        <f t="shared" si="30"/>
        <v>1</v>
      </c>
      <c r="H187" s="1">
        <f t="shared" si="31"/>
        <v>1</v>
      </c>
      <c r="I187" s="1">
        <f t="shared" si="32"/>
        <v>0</v>
      </c>
      <c r="J187" s="1">
        <f t="shared" si="33"/>
        <v>0</v>
      </c>
      <c r="K187" s="10">
        <f t="shared" si="34"/>
        <v>0</v>
      </c>
      <c r="L187" s="1">
        <v>0</v>
      </c>
      <c r="M187" s="17" t="str">
        <f t="shared" si="36"/>
        <v>8.</v>
      </c>
      <c r="O187" s="1">
        <v>1</v>
      </c>
    </row>
    <row r="188" spans="1:15" x14ac:dyDescent="0.3">
      <c r="A188" s="1" t="str">
        <f>_xlfn.CONCAT("0b",D188:G188, " ", Table2[[#This Row],[D3]:[D0]])</f>
        <v>0b1011 1001</v>
      </c>
      <c r="B188" s="1" t="str">
        <f t="shared" si="26"/>
        <v>0xB9</v>
      </c>
      <c r="C188" s="10">
        <v>185</v>
      </c>
      <c r="D188" s="9">
        <f t="shared" si="27"/>
        <v>1</v>
      </c>
      <c r="E188" s="1">
        <f t="shared" si="28"/>
        <v>0</v>
      </c>
      <c r="F188" s="1">
        <f t="shared" si="29"/>
        <v>1</v>
      </c>
      <c r="G188" s="1">
        <f t="shared" si="30"/>
        <v>1</v>
      </c>
      <c r="H188" s="1">
        <f t="shared" si="31"/>
        <v>1</v>
      </c>
      <c r="I188" s="1">
        <f t="shared" si="32"/>
        <v>0</v>
      </c>
      <c r="J188" s="1">
        <f t="shared" si="33"/>
        <v>0</v>
      </c>
      <c r="K188" s="10">
        <f t="shared" si="34"/>
        <v>1</v>
      </c>
      <c r="L188" s="1">
        <v>0</v>
      </c>
      <c r="M188" s="17" t="str">
        <f t="shared" si="36"/>
        <v>9.</v>
      </c>
      <c r="O188" s="1">
        <v>1</v>
      </c>
    </row>
    <row r="189" spans="1:15" x14ac:dyDescent="0.3">
      <c r="A189" s="1" t="str">
        <f>_xlfn.CONCAT("0b",D189:G189, " ", Table2[[#This Row],[D3]:[D0]])</f>
        <v>0b1011 1010</v>
      </c>
      <c r="B189" s="1" t="str">
        <f t="shared" si="26"/>
        <v>0xBA</v>
      </c>
      <c r="C189" s="10">
        <v>186</v>
      </c>
      <c r="D189" s="9">
        <f t="shared" si="27"/>
        <v>1</v>
      </c>
      <c r="E189" s="1">
        <f t="shared" si="28"/>
        <v>0</v>
      </c>
      <c r="F189" s="1">
        <f t="shared" si="29"/>
        <v>1</v>
      </c>
      <c r="G189" s="1">
        <f t="shared" si="30"/>
        <v>1</v>
      </c>
      <c r="H189" s="1">
        <f t="shared" si="31"/>
        <v>1</v>
      </c>
      <c r="I189" s="1">
        <f t="shared" si="32"/>
        <v>0</v>
      </c>
      <c r="J189" s="1">
        <f t="shared" si="33"/>
        <v>1</v>
      </c>
      <c r="K189" s="10">
        <f t="shared" si="34"/>
        <v>0</v>
      </c>
      <c r="L189" s="1">
        <v>0</v>
      </c>
      <c r="M189" s="17" t="str">
        <f t="shared" si="36"/>
        <v>=.</v>
      </c>
      <c r="O189" s="1">
        <v>1</v>
      </c>
    </row>
    <row r="190" spans="1:15" x14ac:dyDescent="0.3">
      <c r="A190" s="1" t="str">
        <f>_xlfn.CONCAT("0b",D190:G190, " ", Table2[[#This Row],[D3]:[D0]])</f>
        <v>0b1011 1011</v>
      </c>
      <c r="B190" s="1" t="str">
        <f t="shared" si="26"/>
        <v>0xBB</v>
      </c>
      <c r="C190" s="10">
        <v>187</v>
      </c>
      <c r="D190" s="9">
        <f t="shared" si="27"/>
        <v>1</v>
      </c>
      <c r="E190" s="1">
        <f t="shared" si="28"/>
        <v>0</v>
      </c>
      <c r="F190" s="1">
        <f t="shared" si="29"/>
        <v>1</v>
      </c>
      <c r="G190" s="1">
        <f t="shared" si="30"/>
        <v>1</v>
      </c>
      <c r="H190" s="1">
        <f t="shared" si="31"/>
        <v>1</v>
      </c>
      <c r="I190" s="1">
        <f t="shared" si="32"/>
        <v>0</v>
      </c>
      <c r="J190" s="1">
        <f t="shared" si="33"/>
        <v>1</v>
      </c>
      <c r="K190" s="10">
        <f t="shared" si="34"/>
        <v>1</v>
      </c>
      <c r="L190" s="1">
        <v>0</v>
      </c>
      <c r="M190" s="17" t="str">
        <f t="shared" si="36"/>
        <v>UNKNOWN.</v>
      </c>
      <c r="O190" s="1">
        <v>1</v>
      </c>
    </row>
    <row r="191" spans="1:15" x14ac:dyDescent="0.3">
      <c r="A191" s="1" t="str">
        <f>_xlfn.CONCAT("0b",D191:G191, " ", Table2[[#This Row],[D3]:[D0]])</f>
        <v>0b1011 1100</v>
      </c>
      <c r="B191" s="1" t="str">
        <f t="shared" si="26"/>
        <v>0xBC</v>
      </c>
      <c r="C191" s="10">
        <v>188</v>
      </c>
      <c r="D191" s="9">
        <f t="shared" si="27"/>
        <v>1</v>
      </c>
      <c r="E191" s="1">
        <f t="shared" si="28"/>
        <v>0</v>
      </c>
      <c r="F191" s="1">
        <f t="shared" si="29"/>
        <v>1</v>
      </c>
      <c r="G191" s="1">
        <f t="shared" si="30"/>
        <v>1</v>
      </c>
      <c r="H191" s="1">
        <f t="shared" si="31"/>
        <v>1</v>
      </c>
      <c r="I191" s="1">
        <f t="shared" si="32"/>
        <v>1</v>
      </c>
      <c r="J191" s="1">
        <f t="shared" si="33"/>
        <v>0</v>
      </c>
      <c r="K191" s="10">
        <f t="shared" si="34"/>
        <v>0</v>
      </c>
      <c r="L191" s="1">
        <v>0</v>
      </c>
      <c r="M191" s="17" t="str">
        <f t="shared" si="36"/>
        <v>&lt;.</v>
      </c>
      <c r="O191" s="1">
        <v>1</v>
      </c>
    </row>
    <row r="192" spans="1:15" x14ac:dyDescent="0.3">
      <c r="A192" s="1" t="str">
        <f>_xlfn.CONCAT("0b",D192:G192, " ", Table2[[#This Row],[D3]:[D0]])</f>
        <v>0b1011 1101</v>
      </c>
      <c r="B192" s="1" t="str">
        <f t="shared" si="26"/>
        <v>0xBD</v>
      </c>
      <c r="C192" s="10">
        <v>189</v>
      </c>
      <c r="D192" s="9">
        <f t="shared" si="27"/>
        <v>1</v>
      </c>
      <c r="E192" s="1">
        <f t="shared" si="28"/>
        <v>0</v>
      </c>
      <c r="F192" s="1">
        <f t="shared" si="29"/>
        <v>1</v>
      </c>
      <c r="G192" s="1">
        <f t="shared" si="30"/>
        <v>1</v>
      </c>
      <c r="H192" s="1">
        <f t="shared" si="31"/>
        <v>1</v>
      </c>
      <c r="I192" s="1">
        <f t="shared" si="32"/>
        <v>1</v>
      </c>
      <c r="J192" s="1">
        <f t="shared" si="33"/>
        <v>0</v>
      </c>
      <c r="K192" s="10">
        <f t="shared" si="34"/>
        <v>1</v>
      </c>
      <c r="L192" s="1">
        <v>0</v>
      </c>
      <c r="M192" s="17" t="str">
        <f t="shared" si="36"/>
        <v>=.</v>
      </c>
      <c r="O192" s="1">
        <v>1</v>
      </c>
    </row>
    <row r="193" spans="1:15" x14ac:dyDescent="0.3">
      <c r="A193" s="1" t="str">
        <f>_xlfn.CONCAT("0b",D193:G193, " ", Table2[[#This Row],[D3]:[D0]])</f>
        <v>0b1011 1110</v>
      </c>
      <c r="B193" s="1" t="str">
        <f t="shared" si="26"/>
        <v>0xBE</v>
      </c>
      <c r="C193" s="10">
        <v>190</v>
      </c>
      <c r="D193" s="9">
        <f t="shared" si="27"/>
        <v>1</v>
      </c>
      <c r="E193" s="1">
        <f t="shared" si="28"/>
        <v>0</v>
      </c>
      <c r="F193" s="1">
        <f t="shared" si="29"/>
        <v>1</v>
      </c>
      <c r="G193" s="1">
        <f t="shared" si="30"/>
        <v>1</v>
      </c>
      <c r="H193" s="1">
        <f t="shared" si="31"/>
        <v>1</v>
      </c>
      <c r="I193" s="1">
        <f t="shared" si="32"/>
        <v>1</v>
      </c>
      <c r="J193" s="1">
        <f t="shared" si="33"/>
        <v>1</v>
      </c>
      <c r="K193" s="10">
        <f t="shared" si="34"/>
        <v>0</v>
      </c>
      <c r="L193" s="1">
        <v>0</v>
      </c>
      <c r="M193" s="17" t="str">
        <f t="shared" si="36"/>
        <v>&gt;.</v>
      </c>
      <c r="O193" s="1">
        <v>1</v>
      </c>
    </row>
    <row r="194" spans="1:15" x14ac:dyDescent="0.3">
      <c r="A194" s="1" t="str">
        <f>_xlfn.CONCAT("0b",D194:G194, " ", Table2[[#This Row],[D3]:[D0]])</f>
        <v>0b1011 1111</v>
      </c>
      <c r="B194" s="1" t="str">
        <f t="shared" si="26"/>
        <v>0xBF</v>
      </c>
      <c r="C194" s="10">
        <v>191</v>
      </c>
      <c r="D194" s="9">
        <f t="shared" si="27"/>
        <v>1</v>
      </c>
      <c r="E194" s="1">
        <f t="shared" si="28"/>
        <v>0</v>
      </c>
      <c r="F194" s="1">
        <f t="shared" si="29"/>
        <v>1</v>
      </c>
      <c r="G194" s="1">
        <f t="shared" si="30"/>
        <v>1</v>
      </c>
      <c r="H194" s="1">
        <f t="shared" si="31"/>
        <v>1</v>
      </c>
      <c r="I194" s="1">
        <f t="shared" si="32"/>
        <v>1</v>
      </c>
      <c r="J194" s="1">
        <f t="shared" si="33"/>
        <v>1</v>
      </c>
      <c r="K194" s="10">
        <f t="shared" si="34"/>
        <v>1</v>
      </c>
      <c r="L194" s="1">
        <v>0</v>
      </c>
      <c r="M194" s="17" t="str">
        <f t="shared" si="36"/>
        <v>?.</v>
      </c>
      <c r="O194" s="1">
        <v>1</v>
      </c>
    </row>
    <row r="195" spans="1:15" x14ac:dyDescent="0.3">
      <c r="A195" s="1" t="str">
        <f>_xlfn.CONCAT("0b",D195:G195, " ", Table2[[#This Row],[D3]:[D0]])</f>
        <v>0b1100 0000</v>
      </c>
      <c r="B195" s="1" t="str">
        <f t="shared" ref="B195:B258" si="37">_xlfn.CONCAT("0x",BIN2HEX(_xlfn.CONCAT(D195:K195), 2))</f>
        <v>0xC0</v>
      </c>
      <c r="C195" s="10">
        <v>192</v>
      </c>
      <c r="D195" s="9">
        <f t="shared" ref="D195:D258" si="38">MOD(_xlfn.BITRSHIFT($C195,7),2)</f>
        <v>1</v>
      </c>
      <c r="E195" s="1">
        <f t="shared" ref="E195:E258" si="39">MOD(_xlfn.BITRSHIFT($C195,6),2)</f>
        <v>1</v>
      </c>
      <c r="F195" s="1">
        <f t="shared" ref="F195:F258" si="40">MOD(_xlfn.BITRSHIFT($C195,5),2)</f>
        <v>0</v>
      </c>
      <c r="G195" s="1">
        <f t="shared" ref="G195:G258" si="41">MOD(_xlfn.BITRSHIFT($C195,4),2)</f>
        <v>0</v>
      </c>
      <c r="H195" s="1">
        <f t="shared" ref="H195:H258" si="42">MOD(_xlfn.BITRSHIFT($C195,3),2)</f>
        <v>0</v>
      </c>
      <c r="I195" s="1">
        <f t="shared" ref="I195:I258" si="43">MOD(_xlfn.BITRSHIFT($C195,2),2)</f>
        <v>0</v>
      </c>
      <c r="J195" s="1">
        <f t="shared" ref="J195:J258" si="44">MOD(_xlfn.BITRSHIFT($C195,1),2)</f>
        <v>0</v>
      </c>
      <c r="K195" s="10">
        <f t="shared" ref="K195:K258" si="45">MOD(_xlfn.BITRSHIFT($C195,0),2)</f>
        <v>0</v>
      </c>
      <c r="L195" s="1">
        <v>0</v>
      </c>
      <c r="M195" s="17" t="str">
        <f t="shared" si="36"/>
        <v>@.</v>
      </c>
      <c r="O195" s="1">
        <v>1</v>
      </c>
    </row>
    <row r="196" spans="1:15" x14ac:dyDescent="0.3">
      <c r="A196" s="1" t="str">
        <f>_xlfn.CONCAT("0b",D196:G196, " ", Table2[[#This Row],[D3]:[D0]])</f>
        <v>0b1100 0001</v>
      </c>
      <c r="B196" s="1" t="str">
        <f t="shared" si="37"/>
        <v>0xC1</v>
      </c>
      <c r="C196" s="10">
        <v>193</v>
      </c>
      <c r="D196" s="9">
        <f t="shared" si="38"/>
        <v>1</v>
      </c>
      <c r="E196" s="1">
        <f t="shared" si="39"/>
        <v>1</v>
      </c>
      <c r="F196" s="1">
        <f t="shared" si="40"/>
        <v>0</v>
      </c>
      <c r="G196" s="1">
        <f t="shared" si="41"/>
        <v>0</v>
      </c>
      <c r="H196" s="1">
        <f t="shared" si="42"/>
        <v>0</v>
      </c>
      <c r="I196" s="1">
        <f t="shared" si="43"/>
        <v>0</v>
      </c>
      <c r="J196" s="1">
        <f t="shared" si="44"/>
        <v>0</v>
      </c>
      <c r="K196" s="10">
        <f t="shared" si="45"/>
        <v>1</v>
      </c>
      <c r="L196" s="1">
        <v>0</v>
      </c>
      <c r="M196" s="17" t="str">
        <f t="shared" si="36"/>
        <v>A.</v>
      </c>
      <c r="O196" s="1">
        <v>1</v>
      </c>
    </row>
    <row r="197" spans="1:15" x14ac:dyDescent="0.3">
      <c r="A197" s="1" t="str">
        <f>_xlfn.CONCAT("0b",D197:G197, " ", Table2[[#This Row],[D3]:[D0]])</f>
        <v>0b1100 0010</v>
      </c>
      <c r="B197" s="1" t="str">
        <f t="shared" si="37"/>
        <v>0xC2</v>
      </c>
      <c r="C197" s="10">
        <v>194</v>
      </c>
      <c r="D197" s="9">
        <f t="shared" si="38"/>
        <v>1</v>
      </c>
      <c r="E197" s="1">
        <f t="shared" si="39"/>
        <v>1</v>
      </c>
      <c r="F197" s="1">
        <f t="shared" si="40"/>
        <v>0</v>
      </c>
      <c r="G197" s="1">
        <f t="shared" si="41"/>
        <v>0</v>
      </c>
      <c r="H197" s="1">
        <f t="shared" si="42"/>
        <v>0</v>
      </c>
      <c r="I197" s="1">
        <f t="shared" si="43"/>
        <v>0</v>
      </c>
      <c r="J197" s="1">
        <f t="shared" si="44"/>
        <v>1</v>
      </c>
      <c r="K197" s="10">
        <f t="shared" si="45"/>
        <v>0</v>
      </c>
      <c r="L197" s="1">
        <v>0</v>
      </c>
      <c r="M197" s="17" t="str">
        <f t="shared" si="36"/>
        <v>B.</v>
      </c>
      <c r="O197" s="1">
        <v>1</v>
      </c>
    </row>
    <row r="198" spans="1:15" x14ac:dyDescent="0.3">
      <c r="A198" s="1" t="str">
        <f>_xlfn.CONCAT("0b",D198:G198, " ", Table2[[#This Row],[D3]:[D0]])</f>
        <v>0b1100 0011</v>
      </c>
      <c r="B198" s="1" t="str">
        <f t="shared" si="37"/>
        <v>0xC3</v>
      </c>
      <c r="C198" s="10">
        <v>195</v>
      </c>
      <c r="D198" s="9">
        <f t="shared" si="38"/>
        <v>1</v>
      </c>
      <c r="E198" s="1">
        <f t="shared" si="39"/>
        <v>1</v>
      </c>
      <c r="F198" s="1">
        <f t="shared" si="40"/>
        <v>0</v>
      </c>
      <c r="G198" s="1">
        <f t="shared" si="41"/>
        <v>0</v>
      </c>
      <c r="H198" s="1">
        <f t="shared" si="42"/>
        <v>0</v>
      </c>
      <c r="I198" s="1">
        <f t="shared" si="43"/>
        <v>0</v>
      </c>
      <c r="J198" s="1">
        <f t="shared" si="44"/>
        <v>1</v>
      </c>
      <c r="K198" s="10">
        <f t="shared" si="45"/>
        <v>1</v>
      </c>
      <c r="L198" s="1">
        <v>0</v>
      </c>
      <c r="M198" s="17" t="str">
        <f t="shared" si="36"/>
        <v>C.</v>
      </c>
      <c r="O198" s="1">
        <v>1</v>
      </c>
    </row>
    <row r="199" spans="1:15" x14ac:dyDescent="0.3">
      <c r="A199" s="1" t="str">
        <f>_xlfn.CONCAT("0b",D199:G199, " ", Table2[[#This Row],[D3]:[D0]])</f>
        <v>0b1100 0100</v>
      </c>
      <c r="B199" s="1" t="str">
        <f t="shared" si="37"/>
        <v>0xC4</v>
      </c>
      <c r="C199" s="10">
        <v>196</v>
      </c>
      <c r="D199" s="9">
        <f t="shared" si="38"/>
        <v>1</v>
      </c>
      <c r="E199" s="1">
        <f t="shared" si="39"/>
        <v>1</v>
      </c>
      <c r="F199" s="1">
        <f t="shared" si="40"/>
        <v>0</v>
      </c>
      <c r="G199" s="1">
        <f t="shared" si="41"/>
        <v>0</v>
      </c>
      <c r="H199" s="1">
        <f t="shared" si="42"/>
        <v>0</v>
      </c>
      <c r="I199" s="1">
        <f t="shared" si="43"/>
        <v>1</v>
      </c>
      <c r="J199" s="1">
        <f t="shared" si="44"/>
        <v>0</v>
      </c>
      <c r="K199" s="10">
        <f t="shared" si="45"/>
        <v>0</v>
      </c>
      <c r="L199" s="1">
        <v>0</v>
      </c>
      <c r="M199" s="17" t="str">
        <f t="shared" si="36"/>
        <v>D.</v>
      </c>
      <c r="O199" s="1">
        <v>1</v>
      </c>
    </row>
    <row r="200" spans="1:15" x14ac:dyDescent="0.3">
      <c r="A200" s="1" t="str">
        <f>_xlfn.CONCAT("0b",D200:G200, " ", Table2[[#This Row],[D3]:[D0]])</f>
        <v>0b1100 0101</v>
      </c>
      <c r="B200" s="1" t="str">
        <f t="shared" si="37"/>
        <v>0xC5</v>
      </c>
      <c r="C200" s="10">
        <v>197</v>
      </c>
      <c r="D200" s="9">
        <f t="shared" si="38"/>
        <v>1</v>
      </c>
      <c r="E200" s="1">
        <f t="shared" si="39"/>
        <v>1</v>
      </c>
      <c r="F200" s="1">
        <f t="shared" si="40"/>
        <v>0</v>
      </c>
      <c r="G200" s="1">
        <f t="shared" si="41"/>
        <v>0</v>
      </c>
      <c r="H200" s="1">
        <f t="shared" si="42"/>
        <v>0</v>
      </c>
      <c r="I200" s="1">
        <f t="shared" si="43"/>
        <v>1</v>
      </c>
      <c r="J200" s="1">
        <f t="shared" si="44"/>
        <v>0</v>
      </c>
      <c r="K200" s="10">
        <f t="shared" si="45"/>
        <v>1</v>
      </c>
      <c r="L200" s="1">
        <v>0</v>
      </c>
      <c r="M200" s="17" t="str">
        <f t="shared" si="36"/>
        <v>E.</v>
      </c>
      <c r="O200" s="1">
        <v>1</v>
      </c>
    </row>
    <row r="201" spans="1:15" x14ac:dyDescent="0.3">
      <c r="A201" s="1" t="str">
        <f>_xlfn.CONCAT("0b",D201:G201, " ", Table2[[#This Row],[D3]:[D0]])</f>
        <v>0b1100 0110</v>
      </c>
      <c r="B201" s="1" t="str">
        <f t="shared" si="37"/>
        <v>0xC6</v>
      </c>
      <c r="C201" s="10">
        <v>198</v>
      </c>
      <c r="D201" s="9">
        <f t="shared" si="38"/>
        <v>1</v>
      </c>
      <c r="E201" s="1">
        <f t="shared" si="39"/>
        <v>1</v>
      </c>
      <c r="F201" s="1">
        <f t="shared" si="40"/>
        <v>0</v>
      </c>
      <c r="G201" s="1">
        <f t="shared" si="41"/>
        <v>0</v>
      </c>
      <c r="H201" s="1">
        <f t="shared" si="42"/>
        <v>0</v>
      </c>
      <c r="I201" s="1">
        <f t="shared" si="43"/>
        <v>1</v>
      </c>
      <c r="J201" s="1">
        <f t="shared" si="44"/>
        <v>1</v>
      </c>
      <c r="K201" s="10">
        <f t="shared" si="45"/>
        <v>0</v>
      </c>
      <c r="L201" s="1">
        <v>0</v>
      </c>
      <c r="M201" s="17" t="str">
        <f t="shared" si="36"/>
        <v>F.</v>
      </c>
      <c r="O201" s="1">
        <v>1</v>
      </c>
    </row>
    <row r="202" spans="1:15" x14ac:dyDescent="0.3">
      <c r="A202" s="1" t="str">
        <f>_xlfn.CONCAT("0b",D202:G202, " ", Table2[[#This Row],[D3]:[D0]])</f>
        <v>0b1100 0111</v>
      </c>
      <c r="B202" s="1" t="str">
        <f t="shared" si="37"/>
        <v>0xC7</v>
      </c>
      <c r="C202" s="10">
        <v>199</v>
      </c>
      <c r="D202" s="9">
        <f t="shared" si="38"/>
        <v>1</v>
      </c>
      <c r="E202" s="1">
        <f t="shared" si="39"/>
        <v>1</v>
      </c>
      <c r="F202" s="1">
        <f t="shared" si="40"/>
        <v>0</v>
      </c>
      <c r="G202" s="1">
        <f t="shared" si="41"/>
        <v>0</v>
      </c>
      <c r="H202" s="1">
        <f t="shared" si="42"/>
        <v>0</v>
      </c>
      <c r="I202" s="1">
        <f t="shared" si="43"/>
        <v>1</v>
      </c>
      <c r="J202" s="1">
        <f t="shared" si="44"/>
        <v>1</v>
      </c>
      <c r="K202" s="10">
        <f t="shared" si="45"/>
        <v>1</v>
      </c>
      <c r="L202" s="1">
        <v>0</v>
      </c>
      <c r="M202" s="17" t="str">
        <f t="shared" si="36"/>
        <v>G.</v>
      </c>
      <c r="O202" s="1">
        <v>1</v>
      </c>
    </row>
    <row r="203" spans="1:15" x14ac:dyDescent="0.3">
      <c r="A203" s="1" t="str">
        <f>_xlfn.CONCAT("0b",D203:G203, " ", Table2[[#This Row],[D3]:[D0]])</f>
        <v>0b1100 1000</v>
      </c>
      <c r="B203" s="1" t="str">
        <f t="shared" si="37"/>
        <v>0xC8</v>
      </c>
      <c r="C203" s="10">
        <v>200</v>
      </c>
      <c r="D203" s="9">
        <f t="shared" si="38"/>
        <v>1</v>
      </c>
      <c r="E203" s="1">
        <f t="shared" si="39"/>
        <v>1</v>
      </c>
      <c r="F203" s="1">
        <f t="shared" si="40"/>
        <v>0</v>
      </c>
      <c r="G203" s="1">
        <f t="shared" si="41"/>
        <v>0</v>
      </c>
      <c r="H203" s="1">
        <f t="shared" si="42"/>
        <v>1</v>
      </c>
      <c r="I203" s="1">
        <f t="shared" si="43"/>
        <v>0</v>
      </c>
      <c r="J203" s="1">
        <f t="shared" si="44"/>
        <v>0</v>
      </c>
      <c r="K203" s="10">
        <f t="shared" si="45"/>
        <v>0</v>
      </c>
      <c r="L203" s="1">
        <v>0</v>
      </c>
      <c r="M203" s="17" t="str">
        <f t="shared" si="36"/>
        <v>H.</v>
      </c>
      <c r="O203" s="1">
        <v>1</v>
      </c>
    </row>
    <row r="204" spans="1:15" x14ac:dyDescent="0.3">
      <c r="A204" s="1" t="str">
        <f>_xlfn.CONCAT("0b",D204:G204, " ", Table2[[#This Row],[D3]:[D0]])</f>
        <v>0b1100 1001</v>
      </c>
      <c r="B204" s="1" t="str">
        <f t="shared" si="37"/>
        <v>0xC9</v>
      </c>
      <c r="C204" s="10">
        <v>201</v>
      </c>
      <c r="D204" s="9">
        <f t="shared" si="38"/>
        <v>1</v>
      </c>
      <c r="E204" s="1">
        <f t="shared" si="39"/>
        <v>1</v>
      </c>
      <c r="F204" s="1">
        <f t="shared" si="40"/>
        <v>0</v>
      </c>
      <c r="G204" s="1">
        <f t="shared" si="41"/>
        <v>0</v>
      </c>
      <c r="H204" s="1">
        <f t="shared" si="42"/>
        <v>1</v>
      </c>
      <c r="I204" s="1">
        <f t="shared" si="43"/>
        <v>0</v>
      </c>
      <c r="J204" s="1">
        <f t="shared" si="44"/>
        <v>0</v>
      </c>
      <c r="K204" s="10">
        <f t="shared" si="45"/>
        <v>1</v>
      </c>
      <c r="L204" s="1">
        <v>0</v>
      </c>
      <c r="M204" s="17" t="str">
        <f t="shared" si="36"/>
        <v>I.</v>
      </c>
      <c r="O204" s="1">
        <v>1</v>
      </c>
    </row>
    <row r="205" spans="1:15" x14ac:dyDescent="0.3">
      <c r="A205" s="1" t="str">
        <f>_xlfn.CONCAT("0b",D205:G205, " ", Table2[[#This Row],[D3]:[D0]])</f>
        <v>0b1100 1010</v>
      </c>
      <c r="B205" s="1" t="str">
        <f t="shared" si="37"/>
        <v>0xCA</v>
      </c>
      <c r="C205" s="10">
        <v>202</v>
      </c>
      <c r="D205" s="9">
        <f t="shared" si="38"/>
        <v>1</v>
      </c>
      <c r="E205" s="1">
        <f t="shared" si="39"/>
        <v>1</v>
      </c>
      <c r="F205" s="1">
        <f t="shared" si="40"/>
        <v>0</v>
      </c>
      <c r="G205" s="1">
        <f t="shared" si="41"/>
        <v>0</v>
      </c>
      <c r="H205" s="1">
        <f t="shared" si="42"/>
        <v>1</v>
      </c>
      <c r="I205" s="1">
        <f t="shared" si="43"/>
        <v>0</v>
      </c>
      <c r="J205" s="1">
        <f t="shared" si="44"/>
        <v>1</v>
      </c>
      <c r="K205" s="10">
        <f t="shared" si="45"/>
        <v>0</v>
      </c>
      <c r="L205" s="1">
        <v>0</v>
      </c>
      <c r="M205" s="17" t="str">
        <f t="shared" si="36"/>
        <v>J.</v>
      </c>
      <c r="O205" s="1">
        <v>1</v>
      </c>
    </row>
    <row r="206" spans="1:15" x14ac:dyDescent="0.3">
      <c r="A206" s="1" t="str">
        <f>_xlfn.CONCAT("0b",D206:G206, " ", Table2[[#This Row],[D3]:[D0]])</f>
        <v>0b1100 1011</v>
      </c>
      <c r="B206" s="1" t="str">
        <f t="shared" si="37"/>
        <v>0xCB</v>
      </c>
      <c r="C206" s="10">
        <v>203</v>
      </c>
      <c r="D206" s="9">
        <f t="shared" si="38"/>
        <v>1</v>
      </c>
      <c r="E206" s="1">
        <f t="shared" si="39"/>
        <v>1</v>
      </c>
      <c r="F206" s="1">
        <f t="shared" si="40"/>
        <v>0</v>
      </c>
      <c r="G206" s="1">
        <f t="shared" si="41"/>
        <v>0</v>
      </c>
      <c r="H206" s="1">
        <f t="shared" si="42"/>
        <v>1</v>
      </c>
      <c r="I206" s="1">
        <f t="shared" si="43"/>
        <v>0</v>
      </c>
      <c r="J206" s="1">
        <f t="shared" si="44"/>
        <v>1</v>
      </c>
      <c r="K206" s="10">
        <f t="shared" si="45"/>
        <v>1</v>
      </c>
      <c r="L206" s="1">
        <v>0</v>
      </c>
      <c r="M206" s="17" t="str">
        <f t="shared" si="36"/>
        <v>K.</v>
      </c>
      <c r="O206" s="1">
        <v>1</v>
      </c>
    </row>
    <row r="207" spans="1:15" x14ac:dyDescent="0.3">
      <c r="A207" s="1" t="str">
        <f>_xlfn.CONCAT("0b",D207:G207, " ", Table2[[#This Row],[D3]:[D0]])</f>
        <v>0b1100 1100</v>
      </c>
      <c r="B207" s="1" t="str">
        <f t="shared" si="37"/>
        <v>0xCC</v>
      </c>
      <c r="C207" s="10">
        <v>204</v>
      </c>
      <c r="D207" s="9">
        <f t="shared" si="38"/>
        <v>1</v>
      </c>
      <c r="E207" s="1">
        <f t="shared" si="39"/>
        <v>1</v>
      </c>
      <c r="F207" s="1">
        <f t="shared" si="40"/>
        <v>0</v>
      </c>
      <c r="G207" s="1">
        <f t="shared" si="41"/>
        <v>0</v>
      </c>
      <c r="H207" s="1">
        <f t="shared" si="42"/>
        <v>1</v>
      </c>
      <c r="I207" s="1">
        <f t="shared" si="43"/>
        <v>1</v>
      </c>
      <c r="J207" s="1">
        <f t="shared" si="44"/>
        <v>0</v>
      </c>
      <c r="K207" s="10">
        <f t="shared" si="45"/>
        <v>0</v>
      </c>
      <c r="L207" s="1">
        <v>0</v>
      </c>
      <c r="M207" s="17" t="str">
        <f t="shared" si="36"/>
        <v>L.</v>
      </c>
      <c r="O207" s="1">
        <v>1</v>
      </c>
    </row>
    <row r="208" spans="1:15" x14ac:dyDescent="0.3">
      <c r="A208" s="1" t="str">
        <f>_xlfn.CONCAT("0b",D208:G208, " ", Table2[[#This Row],[D3]:[D0]])</f>
        <v>0b1100 1101</v>
      </c>
      <c r="B208" s="1" t="str">
        <f t="shared" si="37"/>
        <v>0xCD</v>
      </c>
      <c r="C208" s="10">
        <v>205</v>
      </c>
      <c r="D208" s="9">
        <f t="shared" si="38"/>
        <v>1</v>
      </c>
      <c r="E208" s="1">
        <f t="shared" si="39"/>
        <v>1</v>
      </c>
      <c r="F208" s="1">
        <f t="shared" si="40"/>
        <v>0</v>
      </c>
      <c r="G208" s="1">
        <f t="shared" si="41"/>
        <v>0</v>
      </c>
      <c r="H208" s="1">
        <f t="shared" si="42"/>
        <v>1</v>
      </c>
      <c r="I208" s="1">
        <f t="shared" si="43"/>
        <v>1</v>
      </c>
      <c r="J208" s="1">
        <f t="shared" si="44"/>
        <v>0</v>
      </c>
      <c r="K208" s="10">
        <f t="shared" si="45"/>
        <v>1</v>
      </c>
      <c r="L208" s="1">
        <v>0</v>
      </c>
      <c r="M208" s="17" t="str">
        <f t="shared" si="36"/>
        <v>M.</v>
      </c>
      <c r="O208" s="1">
        <v>1</v>
      </c>
    </row>
    <row r="209" spans="1:15" x14ac:dyDescent="0.3">
      <c r="A209" s="1" t="str">
        <f>_xlfn.CONCAT("0b",D209:G209, " ", Table2[[#This Row],[D3]:[D0]])</f>
        <v>0b1100 1110</v>
      </c>
      <c r="B209" s="1" t="str">
        <f t="shared" si="37"/>
        <v>0xCE</v>
      </c>
      <c r="C209" s="10">
        <v>206</v>
      </c>
      <c r="D209" s="9">
        <f t="shared" si="38"/>
        <v>1</v>
      </c>
      <c r="E209" s="1">
        <f t="shared" si="39"/>
        <v>1</v>
      </c>
      <c r="F209" s="1">
        <f t="shared" si="40"/>
        <v>0</v>
      </c>
      <c r="G209" s="1">
        <f t="shared" si="41"/>
        <v>0</v>
      </c>
      <c r="H209" s="1">
        <f t="shared" si="42"/>
        <v>1</v>
      </c>
      <c r="I209" s="1">
        <f t="shared" si="43"/>
        <v>1</v>
      </c>
      <c r="J209" s="1">
        <f t="shared" si="44"/>
        <v>1</v>
      </c>
      <c r="K209" s="10">
        <f t="shared" si="45"/>
        <v>0</v>
      </c>
      <c r="L209" s="1">
        <v>0</v>
      </c>
      <c r="M209" s="17" t="str">
        <f t="shared" si="36"/>
        <v>N.</v>
      </c>
      <c r="O209" s="1">
        <v>1</v>
      </c>
    </row>
    <row r="210" spans="1:15" x14ac:dyDescent="0.3">
      <c r="A210" s="1" t="str">
        <f>_xlfn.CONCAT("0b",D210:G210, " ", Table2[[#This Row],[D3]:[D0]])</f>
        <v>0b1100 1111</v>
      </c>
      <c r="B210" s="1" t="str">
        <f t="shared" si="37"/>
        <v>0xCF</v>
      </c>
      <c r="C210" s="10">
        <v>207</v>
      </c>
      <c r="D210" s="9">
        <f t="shared" si="38"/>
        <v>1</v>
      </c>
      <c r="E210" s="1">
        <f t="shared" si="39"/>
        <v>1</v>
      </c>
      <c r="F210" s="1">
        <f t="shared" si="40"/>
        <v>0</v>
      </c>
      <c r="G210" s="1">
        <f t="shared" si="41"/>
        <v>0</v>
      </c>
      <c r="H210" s="1">
        <f t="shared" si="42"/>
        <v>1</v>
      </c>
      <c r="I210" s="1">
        <f t="shared" si="43"/>
        <v>1</v>
      </c>
      <c r="J210" s="1">
        <f t="shared" si="44"/>
        <v>1</v>
      </c>
      <c r="K210" s="10">
        <f t="shared" si="45"/>
        <v>1</v>
      </c>
      <c r="L210" s="1">
        <v>0</v>
      </c>
      <c r="M210" s="17" t="str">
        <f t="shared" si="36"/>
        <v>O.</v>
      </c>
      <c r="O210" s="1">
        <v>1</v>
      </c>
    </row>
    <row r="211" spans="1:15" x14ac:dyDescent="0.3">
      <c r="A211" s="1" t="str">
        <f>_xlfn.CONCAT("0b",D211:G211, " ", Table2[[#This Row],[D3]:[D0]])</f>
        <v>0b1101 0000</v>
      </c>
      <c r="B211" s="1" t="str">
        <f t="shared" si="37"/>
        <v>0xD0</v>
      </c>
      <c r="C211" s="10">
        <v>208</v>
      </c>
      <c r="D211" s="9">
        <f t="shared" si="38"/>
        <v>1</v>
      </c>
      <c r="E211" s="1">
        <f t="shared" si="39"/>
        <v>1</v>
      </c>
      <c r="F211" s="1">
        <f t="shared" si="40"/>
        <v>0</v>
      </c>
      <c r="G211" s="1">
        <f t="shared" si="41"/>
        <v>1</v>
      </c>
      <c r="H211" s="1">
        <f t="shared" si="42"/>
        <v>0</v>
      </c>
      <c r="I211" s="1">
        <f t="shared" si="43"/>
        <v>0</v>
      </c>
      <c r="J211" s="1">
        <f t="shared" si="44"/>
        <v>0</v>
      </c>
      <c r="K211" s="10">
        <f t="shared" si="45"/>
        <v>0</v>
      </c>
      <c r="L211" s="1">
        <v>0</v>
      </c>
      <c r="M211" s="17" t="str">
        <f t="shared" si="36"/>
        <v>P.</v>
      </c>
      <c r="O211" s="1">
        <v>1</v>
      </c>
    </row>
    <row r="212" spans="1:15" x14ac:dyDescent="0.3">
      <c r="A212" s="1" t="str">
        <f>_xlfn.CONCAT("0b",D212:G212, " ", Table2[[#This Row],[D3]:[D0]])</f>
        <v>0b1101 0001</v>
      </c>
      <c r="B212" s="1" t="str">
        <f t="shared" si="37"/>
        <v>0xD1</v>
      </c>
      <c r="C212" s="10">
        <v>209</v>
      </c>
      <c r="D212" s="9">
        <f t="shared" si="38"/>
        <v>1</v>
      </c>
      <c r="E212" s="1">
        <f t="shared" si="39"/>
        <v>1</v>
      </c>
      <c r="F212" s="1">
        <f t="shared" si="40"/>
        <v>0</v>
      </c>
      <c r="G212" s="1">
        <f t="shared" si="41"/>
        <v>1</v>
      </c>
      <c r="H212" s="1">
        <f t="shared" si="42"/>
        <v>0</v>
      </c>
      <c r="I212" s="1">
        <f t="shared" si="43"/>
        <v>0</v>
      </c>
      <c r="J212" s="1">
        <f t="shared" si="44"/>
        <v>0</v>
      </c>
      <c r="K212" s="10">
        <f t="shared" si="45"/>
        <v>1</v>
      </c>
      <c r="L212" s="1">
        <v>0</v>
      </c>
      <c r="M212" s="17" t="str">
        <f t="shared" si="36"/>
        <v>Q.</v>
      </c>
      <c r="O212" s="1">
        <v>1</v>
      </c>
    </row>
    <row r="213" spans="1:15" x14ac:dyDescent="0.3">
      <c r="A213" s="1" t="str">
        <f>_xlfn.CONCAT("0b",D213:G213, " ", Table2[[#This Row],[D3]:[D0]])</f>
        <v>0b1101 0010</v>
      </c>
      <c r="B213" s="1" t="str">
        <f t="shared" si="37"/>
        <v>0xD2</v>
      </c>
      <c r="C213" s="10">
        <v>210</v>
      </c>
      <c r="D213" s="9">
        <f t="shared" si="38"/>
        <v>1</v>
      </c>
      <c r="E213" s="1">
        <f t="shared" si="39"/>
        <v>1</v>
      </c>
      <c r="F213" s="1">
        <f t="shared" si="40"/>
        <v>0</v>
      </c>
      <c r="G213" s="1">
        <f t="shared" si="41"/>
        <v>1</v>
      </c>
      <c r="H213" s="1">
        <f t="shared" si="42"/>
        <v>0</v>
      </c>
      <c r="I213" s="1">
        <f t="shared" si="43"/>
        <v>0</v>
      </c>
      <c r="J213" s="1">
        <f t="shared" si="44"/>
        <v>1</v>
      </c>
      <c r="K213" s="10">
        <f t="shared" si="45"/>
        <v>0</v>
      </c>
      <c r="L213" s="1">
        <v>0</v>
      </c>
      <c r="M213" s="17" t="str">
        <f t="shared" si="36"/>
        <v>R.</v>
      </c>
      <c r="O213" s="1">
        <v>1</v>
      </c>
    </row>
    <row r="214" spans="1:15" x14ac:dyDescent="0.3">
      <c r="A214" s="1" t="str">
        <f>_xlfn.CONCAT("0b",D214:G214, " ", Table2[[#This Row],[D3]:[D0]])</f>
        <v>0b1101 0011</v>
      </c>
      <c r="B214" s="1" t="str">
        <f t="shared" si="37"/>
        <v>0xD3</v>
      </c>
      <c r="C214" s="10">
        <v>211</v>
      </c>
      <c r="D214" s="9">
        <f t="shared" si="38"/>
        <v>1</v>
      </c>
      <c r="E214" s="1">
        <f t="shared" si="39"/>
        <v>1</v>
      </c>
      <c r="F214" s="1">
        <f t="shared" si="40"/>
        <v>0</v>
      </c>
      <c r="G214" s="1">
        <f t="shared" si="41"/>
        <v>1</v>
      </c>
      <c r="H214" s="1">
        <f t="shared" si="42"/>
        <v>0</v>
      </c>
      <c r="I214" s="1">
        <f t="shared" si="43"/>
        <v>0</v>
      </c>
      <c r="J214" s="1">
        <f t="shared" si="44"/>
        <v>1</v>
      </c>
      <c r="K214" s="10">
        <f t="shared" si="45"/>
        <v>1</v>
      </c>
      <c r="L214" s="1">
        <v>0</v>
      </c>
      <c r="M214" s="17" t="str">
        <f t="shared" si="36"/>
        <v>S.</v>
      </c>
      <c r="O214" s="1">
        <v>1</v>
      </c>
    </row>
    <row r="215" spans="1:15" x14ac:dyDescent="0.3">
      <c r="A215" s="1" t="str">
        <f>_xlfn.CONCAT("0b",D215:G215, " ", Table2[[#This Row],[D3]:[D0]])</f>
        <v>0b1101 0100</v>
      </c>
      <c r="B215" s="1" t="str">
        <f t="shared" si="37"/>
        <v>0xD4</v>
      </c>
      <c r="C215" s="10">
        <v>212</v>
      </c>
      <c r="D215" s="9">
        <f t="shared" si="38"/>
        <v>1</v>
      </c>
      <c r="E215" s="1">
        <f t="shared" si="39"/>
        <v>1</v>
      </c>
      <c r="F215" s="1">
        <f t="shared" si="40"/>
        <v>0</v>
      </c>
      <c r="G215" s="1">
        <f t="shared" si="41"/>
        <v>1</v>
      </c>
      <c r="H215" s="1">
        <f t="shared" si="42"/>
        <v>0</v>
      </c>
      <c r="I215" s="1">
        <f t="shared" si="43"/>
        <v>1</v>
      </c>
      <c r="J215" s="1">
        <f t="shared" si="44"/>
        <v>0</v>
      </c>
      <c r="K215" s="10">
        <f t="shared" si="45"/>
        <v>0</v>
      </c>
      <c r="L215" s="1">
        <v>0</v>
      </c>
      <c r="M215" s="17" t="str">
        <f t="shared" si="36"/>
        <v>T.</v>
      </c>
      <c r="O215" s="1">
        <v>1</v>
      </c>
    </row>
    <row r="216" spans="1:15" x14ac:dyDescent="0.3">
      <c r="A216" s="1" t="str">
        <f>_xlfn.CONCAT("0b",D216:G216, " ", Table2[[#This Row],[D3]:[D0]])</f>
        <v>0b1101 0101</v>
      </c>
      <c r="B216" s="1" t="str">
        <f t="shared" si="37"/>
        <v>0xD5</v>
      </c>
      <c r="C216" s="10">
        <v>213</v>
      </c>
      <c r="D216" s="9">
        <f t="shared" si="38"/>
        <v>1</v>
      </c>
      <c r="E216" s="1">
        <f t="shared" si="39"/>
        <v>1</v>
      </c>
      <c r="F216" s="1">
        <f t="shared" si="40"/>
        <v>0</v>
      </c>
      <c r="G216" s="1">
        <f t="shared" si="41"/>
        <v>1</v>
      </c>
      <c r="H216" s="1">
        <f t="shared" si="42"/>
        <v>0</v>
      </c>
      <c r="I216" s="1">
        <f t="shared" si="43"/>
        <v>1</v>
      </c>
      <c r="J216" s="1">
        <f t="shared" si="44"/>
        <v>0</v>
      </c>
      <c r="K216" s="10">
        <f t="shared" si="45"/>
        <v>1</v>
      </c>
      <c r="L216" s="1">
        <v>0</v>
      </c>
      <c r="M216" s="17" t="str">
        <f t="shared" si="36"/>
        <v>U.</v>
      </c>
      <c r="O216" s="1">
        <v>1</v>
      </c>
    </row>
    <row r="217" spans="1:15" x14ac:dyDescent="0.3">
      <c r="A217" s="1" t="str">
        <f>_xlfn.CONCAT("0b",D217:G217, " ", Table2[[#This Row],[D3]:[D0]])</f>
        <v>0b1101 0110</v>
      </c>
      <c r="B217" s="1" t="str">
        <f t="shared" si="37"/>
        <v>0xD6</v>
      </c>
      <c r="C217" s="10">
        <v>214</v>
      </c>
      <c r="D217" s="9">
        <f t="shared" si="38"/>
        <v>1</v>
      </c>
      <c r="E217" s="1">
        <f t="shared" si="39"/>
        <v>1</v>
      </c>
      <c r="F217" s="1">
        <f t="shared" si="40"/>
        <v>0</v>
      </c>
      <c r="G217" s="1">
        <f t="shared" si="41"/>
        <v>1</v>
      </c>
      <c r="H217" s="1">
        <f t="shared" si="42"/>
        <v>0</v>
      </c>
      <c r="I217" s="1">
        <f t="shared" si="43"/>
        <v>1</v>
      </c>
      <c r="J217" s="1">
        <f t="shared" si="44"/>
        <v>1</v>
      </c>
      <c r="K217" s="10">
        <f t="shared" si="45"/>
        <v>0</v>
      </c>
      <c r="L217" s="1">
        <v>0</v>
      </c>
      <c r="M217" s="17" t="str">
        <f t="shared" si="36"/>
        <v>V.</v>
      </c>
      <c r="O217" s="1">
        <v>1</v>
      </c>
    </row>
    <row r="218" spans="1:15" x14ac:dyDescent="0.3">
      <c r="A218" s="1" t="str">
        <f>_xlfn.CONCAT("0b",D218:G218, " ", Table2[[#This Row],[D3]:[D0]])</f>
        <v>0b1101 0111</v>
      </c>
      <c r="B218" s="1" t="str">
        <f t="shared" si="37"/>
        <v>0xD7</v>
      </c>
      <c r="C218" s="10">
        <v>215</v>
      </c>
      <c r="D218" s="9">
        <f t="shared" si="38"/>
        <v>1</v>
      </c>
      <c r="E218" s="1">
        <f t="shared" si="39"/>
        <v>1</v>
      </c>
      <c r="F218" s="1">
        <f t="shared" si="40"/>
        <v>0</v>
      </c>
      <c r="G218" s="1">
        <f t="shared" si="41"/>
        <v>1</v>
      </c>
      <c r="H218" s="1">
        <f t="shared" si="42"/>
        <v>0</v>
      </c>
      <c r="I218" s="1">
        <f t="shared" si="43"/>
        <v>1</v>
      </c>
      <c r="J218" s="1">
        <f t="shared" si="44"/>
        <v>1</v>
      </c>
      <c r="K218" s="10">
        <f t="shared" si="45"/>
        <v>1</v>
      </c>
      <c r="L218" s="1">
        <v>0</v>
      </c>
      <c r="M218" s="17" t="str">
        <f t="shared" si="36"/>
        <v>W.</v>
      </c>
      <c r="O218" s="1">
        <v>1</v>
      </c>
    </row>
    <row r="219" spans="1:15" x14ac:dyDescent="0.3">
      <c r="A219" s="1" t="str">
        <f>_xlfn.CONCAT("0b",D219:G219, " ", Table2[[#This Row],[D3]:[D0]])</f>
        <v>0b1101 1000</v>
      </c>
      <c r="B219" s="1" t="str">
        <f t="shared" si="37"/>
        <v>0xD8</v>
      </c>
      <c r="C219" s="10">
        <v>216</v>
      </c>
      <c r="D219" s="9">
        <f t="shared" si="38"/>
        <v>1</v>
      </c>
      <c r="E219" s="1">
        <f t="shared" si="39"/>
        <v>1</v>
      </c>
      <c r="F219" s="1">
        <f t="shared" si="40"/>
        <v>0</v>
      </c>
      <c r="G219" s="1">
        <f t="shared" si="41"/>
        <v>1</v>
      </c>
      <c r="H219" s="1">
        <f t="shared" si="42"/>
        <v>1</v>
      </c>
      <c r="I219" s="1">
        <f t="shared" si="43"/>
        <v>0</v>
      </c>
      <c r="J219" s="1">
        <f t="shared" si="44"/>
        <v>0</v>
      </c>
      <c r="K219" s="10">
        <f t="shared" si="45"/>
        <v>0</v>
      </c>
      <c r="L219" s="1">
        <v>0</v>
      </c>
      <c r="M219" s="17" t="str">
        <f t="shared" si="36"/>
        <v>X.</v>
      </c>
      <c r="O219" s="1">
        <v>1</v>
      </c>
    </row>
    <row r="220" spans="1:15" x14ac:dyDescent="0.3">
      <c r="A220" s="1" t="str">
        <f>_xlfn.CONCAT("0b",D220:G220, " ", Table2[[#This Row],[D3]:[D0]])</f>
        <v>0b1101 1001</v>
      </c>
      <c r="B220" s="1" t="str">
        <f t="shared" si="37"/>
        <v>0xD9</v>
      </c>
      <c r="C220" s="10">
        <v>217</v>
      </c>
      <c r="D220" s="9">
        <f t="shared" si="38"/>
        <v>1</v>
      </c>
      <c r="E220" s="1">
        <f t="shared" si="39"/>
        <v>1</v>
      </c>
      <c r="F220" s="1">
        <f t="shared" si="40"/>
        <v>0</v>
      </c>
      <c r="G220" s="1">
        <f t="shared" si="41"/>
        <v>1</v>
      </c>
      <c r="H220" s="1">
        <f t="shared" si="42"/>
        <v>1</v>
      </c>
      <c r="I220" s="1">
        <f t="shared" si="43"/>
        <v>0</v>
      </c>
      <c r="J220" s="1">
        <f t="shared" si="44"/>
        <v>0</v>
      </c>
      <c r="K220" s="10">
        <f t="shared" si="45"/>
        <v>1</v>
      </c>
      <c r="L220" s="1">
        <v>0</v>
      </c>
      <c r="M220" s="17" t="str">
        <f t="shared" si="36"/>
        <v>Y.</v>
      </c>
      <c r="O220" s="1">
        <v>1</v>
      </c>
    </row>
    <row r="221" spans="1:15" x14ac:dyDescent="0.3">
      <c r="A221" s="1" t="str">
        <f>_xlfn.CONCAT("0b",D221:G221, " ", Table2[[#This Row],[D3]:[D0]])</f>
        <v>0b1101 1010</v>
      </c>
      <c r="B221" s="1" t="str">
        <f t="shared" si="37"/>
        <v>0xDA</v>
      </c>
      <c r="C221" s="10">
        <v>218</v>
      </c>
      <c r="D221" s="9">
        <f t="shared" si="38"/>
        <v>1</v>
      </c>
      <c r="E221" s="1">
        <f t="shared" si="39"/>
        <v>1</v>
      </c>
      <c r="F221" s="1">
        <f t="shared" si="40"/>
        <v>0</v>
      </c>
      <c r="G221" s="1">
        <f t="shared" si="41"/>
        <v>1</v>
      </c>
      <c r="H221" s="1">
        <f t="shared" si="42"/>
        <v>1</v>
      </c>
      <c r="I221" s="1">
        <f t="shared" si="43"/>
        <v>0</v>
      </c>
      <c r="J221" s="1">
        <f t="shared" si="44"/>
        <v>1</v>
      </c>
      <c r="K221" s="10">
        <f t="shared" si="45"/>
        <v>0</v>
      </c>
      <c r="L221" s="1">
        <v>0</v>
      </c>
      <c r="M221" s="17" t="str">
        <f t="shared" si="36"/>
        <v>Z.</v>
      </c>
      <c r="O221" s="1">
        <v>1</v>
      </c>
    </row>
    <row r="222" spans="1:15" x14ac:dyDescent="0.3">
      <c r="A222" s="1" t="str">
        <f>_xlfn.CONCAT("0b",D222:G222, " ", Table2[[#This Row],[D3]:[D0]])</f>
        <v>0b1101 1011</v>
      </c>
      <c r="B222" s="1" t="str">
        <f t="shared" si="37"/>
        <v>0xDB</v>
      </c>
      <c r="C222" s="10">
        <v>219</v>
      </c>
      <c r="D222" s="9">
        <f t="shared" si="38"/>
        <v>1</v>
      </c>
      <c r="E222" s="1">
        <f t="shared" si="39"/>
        <v>1</v>
      </c>
      <c r="F222" s="1">
        <f t="shared" si="40"/>
        <v>0</v>
      </c>
      <c r="G222" s="1">
        <f t="shared" si="41"/>
        <v>1</v>
      </c>
      <c r="H222" s="1">
        <f t="shared" si="42"/>
        <v>1</v>
      </c>
      <c r="I222" s="1">
        <f t="shared" si="43"/>
        <v>0</v>
      </c>
      <c r="J222" s="1">
        <f t="shared" si="44"/>
        <v>1</v>
      </c>
      <c r="K222" s="10">
        <f t="shared" si="45"/>
        <v>1</v>
      </c>
      <c r="L222" s="1">
        <v>0</v>
      </c>
      <c r="M222" s="17" t="str">
        <f t="shared" si="36"/>
        <v>c.</v>
      </c>
      <c r="O222" s="1">
        <v>1</v>
      </c>
    </row>
    <row r="223" spans="1:15" x14ac:dyDescent="0.3">
      <c r="A223" s="1" t="str">
        <f>_xlfn.CONCAT("0b",D223:G223, " ", Table2[[#This Row],[D3]:[D0]])</f>
        <v>0b1101 1100</v>
      </c>
      <c r="B223" s="1" t="str">
        <f t="shared" si="37"/>
        <v>0xDC</v>
      </c>
      <c r="C223" s="10">
        <v>220</v>
      </c>
      <c r="D223" s="9">
        <f t="shared" si="38"/>
        <v>1</v>
      </c>
      <c r="E223" s="1">
        <f t="shared" si="39"/>
        <v>1</v>
      </c>
      <c r="F223" s="1">
        <f t="shared" si="40"/>
        <v>0</v>
      </c>
      <c r="G223" s="1">
        <f t="shared" si="41"/>
        <v>1</v>
      </c>
      <c r="H223" s="1">
        <f t="shared" si="42"/>
        <v>1</v>
      </c>
      <c r="I223" s="1">
        <f t="shared" si="43"/>
        <v>1</v>
      </c>
      <c r="J223" s="1">
        <f t="shared" si="44"/>
        <v>0</v>
      </c>
      <c r="K223" s="10">
        <f t="shared" si="45"/>
        <v>0</v>
      </c>
      <c r="L223" s="1">
        <v>0</v>
      </c>
      <c r="M223" s="17" t="str">
        <f t="shared" si="36"/>
        <v>\.</v>
      </c>
      <c r="O223" s="1">
        <v>1</v>
      </c>
    </row>
    <row r="224" spans="1:15" x14ac:dyDescent="0.3">
      <c r="A224" s="1" t="str">
        <f>_xlfn.CONCAT("0b",D224:G224, " ", Table2[[#This Row],[D3]:[D0]])</f>
        <v>0b1101 1101</v>
      </c>
      <c r="B224" s="1" t="str">
        <f t="shared" si="37"/>
        <v>0xDD</v>
      </c>
      <c r="C224" s="10">
        <v>221</v>
      </c>
      <c r="D224" s="9">
        <f t="shared" si="38"/>
        <v>1</v>
      </c>
      <c r="E224" s="1">
        <f t="shared" si="39"/>
        <v>1</v>
      </c>
      <c r="F224" s="1">
        <f t="shared" si="40"/>
        <v>0</v>
      </c>
      <c r="G224" s="1">
        <f t="shared" si="41"/>
        <v>1</v>
      </c>
      <c r="H224" s="1">
        <f t="shared" si="42"/>
        <v>1</v>
      </c>
      <c r="I224" s="1">
        <f t="shared" si="43"/>
        <v>1</v>
      </c>
      <c r="J224" s="1">
        <f t="shared" si="44"/>
        <v>0</v>
      </c>
      <c r="K224" s="10">
        <f t="shared" si="45"/>
        <v>1</v>
      </c>
      <c r="L224" s="1">
        <v>0</v>
      </c>
      <c r="M224" s="17" t="str">
        <f t="shared" si="36"/>
        <v>ﬤ.</v>
      </c>
      <c r="O224" s="1">
        <v>1</v>
      </c>
    </row>
    <row r="225" spans="1:15" x14ac:dyDescent="0.3">
      <c r="A225" s="1" t="str">
        <f>_xlfn.CONCAT("0b",D225:G225, " ", Table2[[#This Row],[D3]:[D0]])</f>
        <v>0b1101 1110</v>
      </c>
      <c r="B225" s="1" t="str">
        <f t="shared" si="37"/>
        <v>0xDE</v>
      </c>
      <c r="C225" s="10">
        <v>222</v>
      </c>
      <c r="D225" s="9">
        <f t="shared" si="38"/>
        <v>1</v>
      </c>
      <c r="E225" s="1">
        <f t="shared" si="39"/>
        <v>1</v>
      </c>
      <c r="F225" s="1">
        <f t="shared" si="40"/>
        <v>0</v>
      </c>
      <c r="G225" s="1">
        <f t="shared" si="41"/>
        <v>1</v>
      </c>
      <c r="H225" s="1">
        <f t="shared" si="42"/>
        <v>1</v>
      </c>
      <c r="I225" s="1">
        <f t="shared" si="43"/>
        <v>1</v>
      </c>
      <c r="J225" s="1">
        <f t="shared" si="44"/>
        <v>1</v>
      </c>
      <c r="K225" s="10">
        <f t="shared" si="45"/>
        <v>0</v>
      </c>
      <c r="L225" s="1">
        <v>0</v>
      </c>
      <c r="M225" s="17" t="str">
        <f t="shared" si="36"/>
        <v>^.</v>
      </c>
      <c r="O225" s="1">
        <v>1</v>
      </c>
    </row>
    <row r="226" spans="1:15" x14ac:dyDescent="0.3">
      <c r="A226" s="1" t="str">
        <f>_xlfn.CONCAT("0b",D226:G226, " ", Table2[[#This Row],[D3]:[D0]])</f>
        <v>0b1101 1111</v>
      </c>
      <c r="B226" s="1" t="str">
        <f t="shared" si="37"/>
        <v>0xDF</v>
      </c>
      <c r="C226" s="10">
        <v>223</v>
      </c>
      <c r="D226" s="9">
        <f t="shared" si="38"/>
        <v>1</v>
      </c>
      <c r="E226" s="1">
        <f t="shared" si="39"/>
        <v>1</v>
      </c>
      <c r="F226" s="1">
        <f t="shared" si="40"/>
        <v>0</v>
      </c>
      <c r="G226" s="1">
        <f t="shared" si="41"/>
        <v>1</v>
      </c>
      <c r="H226" s="1">
        <f t="shared" si="42"/>
        <v>1</v>
      </c>
      <c r="I226" s="1">
        <f t="shared" si="43"/>
        <v>1</v>
      </c>
      <c r="J226" s="1">
        <f t="shared" si="44"/>
        <v>1</v>
      </c>
      <c r="K226" s="10">
        <f t="shared" si="45"/>
        <v>1</v>
      </c>
      <c r="L226" s="1">
        <v>0</v>
      </c>
      <c r="M226" s="17" t="str">
        <f t="shared" si="36"/>
        <v>_.</v>
      </c>
      <c r="O226" s="1">
        <v>1</v>
      </c>
    </row>
    <row r="227" spans="1:15" x14ac:dyDescent="0.3">
      <c r="A227" s="1" t="str">
        <f>_xlfn.CONCAT("0b",D227:G227, " ", Table2[[#This Row],[D3]:[D0]])</f>
        <v>0b1110 0000</v>
      </c>
      <c r="B227" s="1" t="str">
        <f t="shared" si="37"/>
        <v>0xE0</v>
      </c>
      <c r="C227" s="10">
        <v>224</v>
      </c>
      <c r="D227" s="9">
        <f t="shared" si="38"/>
        <v>1</v>
      </c>
      <c r="E227" s="1">
        <f t="shared" si="39"/>
        <v>1</v>
      </c>
      <c r="F227" s="1">
        <f t="shared" si="40"/>
        <v>1</v>
      </c>
      <c r="G227" s="1">
        <f t="shared" si="41"/>
        <v>0</v>
      </c>
      <c r="H227" s="1">
        <f t="shared" si="42"/>
        <v>0</v>
      </c>
      <c r="I227" s="1">
        <f t="shared" si="43"/>
        <v>0</v>
      </c>
      <c r="J227" s="1">
        <f t="shared" si="44"/>
        <v>0</v>
      </c>
      <c r="K227" s="10">
        <f t="shared" si="45"/>
        <v>0</v>
      </c>
      <c r="L227" s="1">
        <v>0</v>
      </c>
      <c r="M227" s="17" t="str">
        <f t="shared" si="36"/>
        <v>`.</v>
      </c>
      <c r="O227" s="1">
        <v>1</v>
      </c>
    </row>
    <row r="228" spans="1:15" x14ac:dyDescent="0.3">
      <c r="A228" s="1" t="str">
        <f>_xlfn.CONCAT("0b",D228:G228, " ", Table2[[#This Row],[D3]:[D0]])</f>
        <v>0b1110 0001</v>
      </c>
      <c r="B228" s="1" t="str">
        <f t="shared" si="37"/>
        <v>0xE1</v>
      </c>
      <c r="C228" s="10">
        <v>225</v>
      </c>
      <c r="D228" s="9">
        <f t="shared" si="38"/>
        <v>1</v>
      </c>
      <c r="E228" s="1">
        <f t="shared" si="39"/>
        <v>1</v>
      </c>
      <c r="F228" s="1">
        <f t="shared" si="40"/>
        <v>1</v>
      </c>
      <c r="G228" s="1">
        <f t="shared" si="41"/>
        <v>0</v>
      </c>
      <c r="H228" s="1">
        <f t="shared" si="42"/>
        <v>0</v>
      </c>
      <c r="I228" s="1">
        <f t="shared" si="43"/>
        <v>0</v>
      </c>
      <c r="J228" s="1">
        <f t="shared" si="44"/>
        <v>0</v>
      </c>
      <c r="K228" s="10">
        <f t="shared" si="45"/>
        <v>1</v>
      </c>
      <c r="L228" s="1">
        <v>0</v>
      </c>
      <c r="M228" s="17" t="str">
        <f>_xlfn.CONCAT(M100,".,")</f>
        <v>A.,</v>
      </c>
      <c r="O228" s="1">
        <v>1</v>
      </c>
    </row>
    <row r="229" spans="1:15" x14ac:dyDescent="0.3">
      <c r="A229" s="1" t="str">
        <f>_xlfn.CONCAT("0b",D229:G229, " ", Table2[[#This Row],[D3]:[D0]])</f>
        <v>0b1110 0010</v>
      </c>
      <c r="B229" s="1" t="str">
        <f t="shared" ref="B229:B253" si="46">_xlfn.CONCAT("0x",BIN2HEX(_xlfn.CONCAT(D229:K229), 2))</f>
        <v>0xE2</v>
      </c>
      <c r="C229" s="10">
        <v>226</v>
      </c>
      <c r="D229" s="9">
        <f t="shared" si="38"/>
        <v>1</v>
      </c>
      <c r="E229" s="1">
        <f t="shared" si="39"/>
        <v>1</v>
      </c>
      <c r="F229" s="1">
        <f t="shared" si="40"/>
        <v>1</v>
      </c>
      <c r="G229" s="1">
        <f t="shared" si="41"/>
        <v>0</v>
      </c>
      <c r="H229" s="1">
        <f t="shared" si="42"/>
        <v>0</v>
      </c>
      <c r="I229" s="1">
        <f t="shared" si="43"/>
        <v>0</v>
      </c>
      <c r="J229" s="1">
        <f t="shared" si="44"/>
        <v>1</v>
      </c>
      <c r="K229" s="10">
        <f t="shared" si="45"/>
        <v>0</v>
      </c>
      <c r="L229" s="1">
        <v>0</v>
      </c>
      <c r="M229" s="17" t="str">
        <f t="shared" ref="M229:M253" si="47">_xlfn.CONCAT(M101,".,")</f>
        <v>B.,</v>
      </c>
      <c r="O229" s="1">
        <v>1</v>
      </c>
    </row>
    <row r="230" spans="1:15" x14ac:dyDescent="0.3">
      <c r="A230" s="1" t="str">
        <f>_xlfn.CONCAT("0b",D230:G230, " ", Table2[[#This Row],[D3]:[D0]])</f>
        <v>0b1110 0011</v>
      </c>
      <c r="B230" s="1" t="str">
        <f t="shared" si="46"/>
        <v>0xE3</v>
      </c>
      <c r="C230" s="10">
        <v>227</v>
      </c>
      <c r="D230" s="9">
        <f t="shared" si="38"/>
        <v>1</v>
      </c>
      <c r="E230" s="1">
        <f t="shared" si="39"/>
        <v>1</v>
      </c>
      <c r="F230" s="1">
        <f t="shared" si="40"/>
        <v>1</v>
      </c>
      <c r="G230" s="1">
        <f t="shared" si="41"/>
        <v>0</v>
      </c>
      <c r="H230" s="1">
        <f t="shared" si="42"/>
        <v>0</v>
      </c>
      <c r="I230" s="1">
        <f t="shared" si="43"/>
        <v>0</v>
      </c>
      <c r="J230" s="1">
        <f t="shared" si="44"/>
        <v>1</v>
      </c>
      <c r="K230" s="10">
        <f t="shared" si="45"/>
        <v>1</v>
      </c>
      <c r="L230" s="1">
        <v>0</v>
      </c>
      <c r="M230" s="17" t="str">
        <f t="shared" si="47"/>
        <v>C.,</v>
      </c>
      <c r="O230" s="1">
        <v>1</v>
      </c>
    </row>
    <row r="231" spans="1:15" x14ac:dyDescent="0.3">
      <c r="A231" s="1" t="str">
        <f>_xlfn.CONCAT("0b",D231:G231, " ", Table2[[#This Row],[D3]:[D0]])</f>
        <v>0b1110 0100</v>
      </c>
      <c r="B231" s="1" t="str">
        <f t="shared" si="46"/>
        <v>0xE4</v>
      </c>
      <c r="C231" s="10">
        <v>228</v>
      </c>
      <c r="D231" s="9">
        <f t="shared" si="38"/>
        <v>1</v>
      </c>
      <c r="E231" s="1">
        <f t="shared" si="39"/>
        <v>1</v>
      </c>
      <c r="F231" s="1">
        <f t="shared" si="40"/>
        <v>1</v>
      </c>
      <c r="G231" s="1">
        <f t="shared" si="41"/>
        <v>0</v>
      </c>
      <c r="H231" s="1">
        <f t="shared" si="42"/>
        <v>0</v>
      </c>
      <c r="I231" s="1">
        <f t="shared" si="43"/>
        <v>1</v>
      </c>
      <c r="J231" s="1">
        <f t="shared" si="44"/>
        <v>0</v>
      </c>
      <c r="K231" s="10">
        <f t="shared" si="45"/>
        <v>0</v>
      </c>
      <c r="L231" s="1">
        <v>0</v>
      </c>
      <c r="M231" s="17" t="str">
        <f t="shared" si="47"/>
        <v>D.,</v>
      </c>
      <c r="O231" s="1">
        <v>1</v>
      </c>
    </row>
    <row r="232" spans="1:15" x14ac:dyDescent="0.3">
      <c r="A232" s="1" t="str">
        <f>_xlfn.CONCAT("0b",D232:G232, " ", Table2[[#This Row],[D3]:[D0]])</f>
        <v>0b1110 0101</v>
      </c>
      <c r="B232" s="1" t="str">
        <f t="shared" si="46"/>
        <v>0xE5</v>
      </c>
      <c r="C232" s="10">
        <v>229</v>
      </c>
      <c r="D232" s="9">
        <f t="shared" si="38"/>
        <v>1</v>
      </c>
      <c r="E232" s="1">
        <f t="shared" si="39"/>
        <v>1</v>
      </c>
      <c r="F232" s="1">
        <f t="shared" si="40"/>
        <v>1</v>
      </c>
      <c r="G232" s="1">
        <f t="shared" si="41"/>
        <v>0</v>
      </c>
      <c r="H232" s="1">
        <f t="shared" si="42"/>
        <v>0</v>
      </c>
      <c r="I232" s="1">
        <f t="shared" si="43"/>
        <v>1</v>
      </c>
      <c r="J232" s="1">
        <f t="shared" si="44"/>
        <v>0</v>
      </c>
      <c r="K232" s="10">
        <f t="shared" si="45"/>
        <v>1</v>
      </c>
      <c r="L232" s="1">
        <v>0</v>
      </c>
      <c r="M232" s="17" t="str">
        <f t="shared" si="47"/>
        <v>E.,</v>
      </c>
      <c r="O232" s="1">
        <v>1</v>
      </c>
    </row>
    <row r="233" spans="1:15" x14ac:dyDescent="0.3">
      <c r="A233" s="1" t="str">
        <f>_xlfn.CONCAT("0b",D233:G233, " ", Table2[[#This Row],[D3]:[D0]])</f>
        <v>0b1110 0110</v>
      </c>
      <c r="B233" s="1" t="str">
        <f t="shared" si="46"/>
        <v>0xE6</v>
      </c>
      <c r="C233" s="10">
        <v>230</v>
      </c>
      <c r="D233" s="9">
        <f t="shared" si="38"/>
        <v>1</v>
      </c>
      <c r="E233" s="1">
        <f t="shared" si="39"/>
        <v>1</v>
      </c>
      <c r="F233" s="1">
        <f t="shared" si="40"/>
        <v>1</v>
      </c>
      <c r="G233" s="1">
        <f t="shared" si="41"/>
        <v>0</v>
      </c>
      <c r="H233" s="1">
        <f t="shared" si="42"/>
        <v>0</v>
      </c>
      <c r="I233" s="1">
        <f t="shared" si="43"/>
        <v>1</v>
      </c>
      <c r="J233" s="1">
        <f t="shared" si="44"/>
        <v>1</v>
      </c>
      <c r="K233" s="10">
        <f t="shared" si="45"/>
        <v>0</v>
      </c>
      <c r="L233" s="1">
        <v>0</v>
      </c>
      <c r="M233" s="17" t="str">
        <f t="shared" si="47"/>
        <v>F.,</v>
      </c>
      <c r="O233" s="1">
        <v>1</v>
      </c>
    </row>
    <row r="234" spans="1:15" x14ac:dyDescent="0.3">
      <c r="A234" s="1" t="str">
        <f>_xlfn.CONCAT("0b",D234:G234, " ", Table2[[#This Row],[D3]:[D0]])</f>
        <v>0b1110 0111</v>
      </c>
      <c r="B234" s="1" t="str">
        <f t="shared" si="46"/>
        <v>0xE7</v>
      </c>
      <c r="C234" s="10">
        <v>231</v>
      </c>
      <c r="D234" s="9">
        <f t="shared" si="38"/>
        <v>1</v>
      </c>
      <c r="E234" s="1">
        <f t="shared" si="39"/>
        <v>1</v>
      </c>
      <c r="F234" s="1">
        <f t="shared" si="40"/>
        <v>1</v>
      </c>
      <c r="G234" s="1">
        <f t="shared" si="41"/>
        <v>0</v>
      </c>
      <c r="H234" s="1">
        <f t="shared" si="42"/>
        <v>0</v>
      </c>
      <c r="I234" s="1">
        <f t="shared" si="43"/>
        <v>1</v>
      </c>
      <c r="J234" s="1">
        <f t="shared" si="44"/>
        <v>1</v>
      </c>
      <c r="K234" s="10">
        <f t="shared" si="45"/>
        <v>1</v>
      </c>
      <c r="L234" s="1">
        <v>0</v>
      </c>
      <c r="M234" s="17" t="str">
        <f t="shared" si="47"/>
        <v>G.,</v>
      </c>
      <c r="O234" s="1">
        <v>1</v>
      </c>
    </row>
    <row r="235" spans="1:15" x14ac:dyDescent="0.3">
      <c r="A235" s="1" t="str">
        <f>_xlfn.CONCAT("0b",D235:G235, " ", Table2[[#This Row],[D3]:[D0]])</f>
        <v>0b1110 1000</v>
      </c>
      <c r="B235" s="1" t="str">
        <f t="shared" si="46"/>
        <v>0xE8</v>
      </c>
      <c r="C235" s="10">
        <v>232</v>
      </c>
      <c r="D235" s="9">
        <f t="shared" si="38"/>
        <v>1</v>
      </c>
      <c r="E235" s="1">
        <f t="shared" si="39"/>
        <v>1</v>
      </c>
      <c r="F235" s="1">
        <f t="shared" si="40"/>
        <v>1</v>
      </c>
      <c r="G235" s="1">
        <f t="shared" si="41"/>
        <v>0</v>
      </c>
      <c r="H235" s="1">
        <f t="shared" si="42"/>
        <v>1</v>
      </c>
      <c r="I235" s="1">
        <f t="shared" si="43"/>
        <v>0</v>
      </c>
      <c r="J235" s="1">
        <f t="shared" si="44"/>
        <v>0</v>
      </c>
      <c r="K235" s="10">
        <f t="shared" si="45"/>
        <v>0</v>
      </c>
      <c r="L235" s="1">
        <v>0</v>
      </c>
      <c r="M235" s="17" t="str">
        <f t="shared" si="47"/>
        <v>H.,</v>
      </c>
      <c r="O235" s="1">
        <v>1</v>
      </c>
    </row>
    <row r="236" spans="1:15" x14ac:dyDescent="0.3">
      <c r="A236" s="1" t="str">
        <f>_xlfn.CONCAT("0b",D236:G236, " ", Table2[[#This Row],[D3]:[D0]])</f>
        <v>0b1110 1001</v>
      </c>
      <c r="B236" s="1" t="str">
        <f t="shared" si="46"/>
        <v>0xE9</v>
      </c>
      <c r="C236" s="10">
        <v>233</v>
      </c>
      <c r="D236" s="9">
        <f t="shared" si="38"/>
        <v>1</v>
      </c>
      <c r="E236" s="1">
        <f t="shared" si="39"/>
        <v>1</v>
      </c>
      <c r="F236" s="1">
        <f t="shared" si="40"/>
        <v>1</v>
      </c>
      <c r="G236" s="1">
        <f t="shared" si="41"/>
        <v>0</v>
      </c>
      <c r="H236" s="1">
        <f t="shared" si="42"/>
        <v>1</v>
      </c>
      <c r="I236" s="1">
        <f t="shared" si="43"/>
        <v>0</v>
      </c>
      <c r="J236" s="1">
        <f t="shared" si="44"/>
        <v>0</v>
      </c>
      <c r="K236" s="10">
        <f t="shared" si="45"/>
        <v>1</v>
      </c>
      <c r="L236" s="1">
        <v>0</v>
      </c>
      <c r="M236" s="17" t="str">
        <f t="shared" si="47"/>
        <v>I.,</v>
      </c>
      <c r="O236" s="1">
        <v>1</v>
      </c>
    </row>
    <row r="237" spans="1:15" x14ac:dyDescent="0.3">
      <c r="A237" s="1" t="str">
        <f>_xlfn.CONCAT("0b",D237:G237, " ", Table2[[#This Row],[D3]:[D0]])</f>
        <v>0b1110 1010</v>
      </c>
      <c r="B237" s="1" t="str">
        <f t="shared" si="46"/>
        <v>0xEA</v>
      </c>
      <c r="C237" s="10">
        <v>234</v>
      </c>
      <c r="D237" s="9">
        <f t="shared" si="38"/>
        <v>1</v>
      </c>
      <c r="E237" s="1">
        <f t="shared" si="39"/>
        <v>1</v>
      </c>
      <c r="F237" s="1">
        <f t="shared" si="40"/>
        <v>1</v>
      </c>
      <c r="G237" s="1">
        <f t="shared" si="41"/>
        <v>0</v>
      </c>
      <c r="H237" s="1">
        <f t="shared" si="42"/>
        <v>1</v>
      </c>
      <c r="I237" s="1">
        <f t="shared" si="43"/>
        <v>0</v>
      </c>
      <c r="J237" s="1">
        <f t="shared" si="44"/>
        <v>1</v>
      </c>
      <c r="K237" s="10">
        <f t="shared" si="45"/>
        <v>0</v>
      </c>
      <c r="L237" s="1">
        <v>0</v>
      </c>
      <c r="M237" s="17" t="str">
        <f t="shared" si="47"/>
        <v>J.,</v>
      </c>
      <c r="O237" s="1">
        <v>1</v>
      </c>
    </row>
    <row r="238" spans="1:15" x14ac:dyDescent="0.3">
      <c r="A238" s="1" t="str">
        <f>_xlfn.CONCAT("0b",D238:G238, " ", Table2[[#This Row],[D3]:[D0]])</f>
        <v>0b1110 1011</v>
      </c>
      <c r="B238" s="1" t="str">
        <f t="shared" si="46"/>
        <v>0xEB</v>
      </c>
      <c r="C238" s="10">
        <v>235</v>
      </c>
      <c r="D238" s="9">
        <f t="shared" si="38"/>
        <v>1</v>
      </c>
      <c r="E238" s="1">
        <f t="shared" si="39"/>
        <v>1</v>
      </c>
      <c r="F238" s="1">
        <f t="shared" si="40"/>
        <v>1</v>
      </c>
      <c r="G238" s="1">
        <f t="shared" si="41"/>
        <v>0</v>
      </c>
      <c r="H238" s="1">
        <f t="shared" si="42"/>
        <v>1</v>
      </c>
      <c r="I238" s="1">
        <f t="shared" si="43"/>
        <v>0</v>
      </c>
      <c r="J238" s="1">
        <f t="shared" si="44"/>
        <v>1</v>
      </c>
      <c r="K238" s="10">
        <f t="shared" si="45"/>
        <v>1</v>
      </c>
      <c r="L238" s="1">
        <v>0</v>
      </c>
      <c r="M238" s="17" t="str">
        <f t="shared" si="47"/>
        <v>K.,</v>
      </c>
      <c r="O238" s="1">
        <v>1</v>
      </c>
    </row>
    <row r="239" spans="1:15" x14ac:dyDescent="0.3">
      <c r="A239" s="1" t="str">
        <f>_xlfn.CONCAT("0b",D239:G239, " ", Table2[[#This Row],[D3]:[D0]])</f>
        <v>0b1110 1100</v>
      </c>
      <c r="B239" s="1" t="str">
        <f t="shared" si="46"/>
        <v>0xEC</v>
      </c>
      <c r="C239" s="10">
        <v>236</v>
      </c>
      <c r="D239" s="9">
        <f t="shared" si="38"/>
        <v>1</v>
      </c>
      <c r="E239" s="1">
        <f t="shared" si="39"/>
        <v>1</v>
      </c>
      <c r="F239" s="1">
        <f t="shared" si="40"/>
        <v>1</v>
      </c>
      <c r="G239" s="1">
        <f t="shared" si="41"/>
        <v>0</v>
      </c>
      <c r="H239" s="1">
        <f t="shared" si="42"/>
        <v>1</v>
      </c>
      <c r="I239" s="1">
        <f t="shared" si="43"/>
        <v>1</v>
      </c>
      <c r="J239" s="1">
        <f t="shared" si="44"/>
        <v>0</v>
      </c>
      <c r="K239" s="10">
        <f t="shared" si="45"/>
        <v>0</v>
      </c>
      <c r="L239" s="1">
        <v>0</v>
      </c>
      <c r="M239" s="17" t="str">
        <f t="shared" si="47"/>
        <v>L.,</v>
      </c>
      <c r="O239" s="1">
        <v>1</v>
      </c>
    </row>
    <row r="240" spans="1:15" x14ac:dyDescent="0.3">
      <c r="A240" s="1" t="str">
        <f>_xlfn.CONCAT("0b",D240:G240, " ", Table2[[#This Row],[D3]:[D0]])</f>
        <v>0b1110 1101</v>
      </c>
      <c r="B240" s="1" t="str">
        <f t="shared" si="46"/>
        <v>0xED</v>
      </c>
      <c r="C240" s="10">
        <v>237</v>
      </c>
      <c r="D240" s="9">
        <f t="shared" si="38"/>
        <v>1</v>
      </c>
      <c r="E240" s="1">
        <f t="shared" si="39"/>
        <v>1</v>
      </c>
      <c r="F240" s="1">
        <f t="shared" si="40"/>
        <v>1</v>
      </c>
      <c r="G240" s="1">
        <f t="shared" si="41"/>
        <v>0</v>
      </c>
      <c r="H240" s="1">
        <f t="shared" si="42"/>
        <v>1</v>
      </c>
      <c r="I240" s="1">
        <f t="shared" si="43"/>
        <v>1</v>
      </c>
      <c r="J240" s="1">
        <f t="shared" si="44"/>
        <v>0</v>
      </c>
      <c r="K240" s="10">
        <f t="shared" si="45"/>
        <v>1</v>
      </c>
      <c r="L240" s="1">
        <v>0</v>
      </c>
      <c r="M240" s="17" t="str">
        <f t="shared" si="47"/>
        <v>M.,</v>
      </c>
      <c r="O240" s="1">
        <v>1</v>
      </c>
    </row>
    <row r="241" spans="1:15" x14ac:dyDescent="0.3">
      <c r="A241" s="1" t="str">
        <f>_xlfn.CONCAT("0b",D241:G241, " ", Table2[[#This Row],[D3]:[D0]])</f>
        <v>0b1110 1110</v>
      </c>
      <c r="B241" s="1" t="str">
        <f t="shared" si="46"/>
        <v>0xEE</v>
      </c>
      <c r="C241" s="10">
        <v>238</v>
      </c>
      <c r="D241" s="9">
        <f t="shared" si="38"/>
        <v>1</v>
      </c>
      <c r="E241" s="1">
        <f t="shared" si="39"/>
        <v>1</v>
      </c>
      <c r="F241" s="1">
        <f t="shared" si="40"/>
        <v>1</v>
      </c>
      <c r="G241" s="1">
        <f t="shared" si="41"/>
        <v>0</v>
      </c>
      <c r="H241" s="1">
        <f t="shared" si="42"/>
        <v>1</v>
      </c>
      <c r="I241" s="1">
        <f t="shared" si="43"/>
        <v>1</v>
      </c>
      <c r="J241" s="1">
        <f t="shared" si="44"/>
        <v>1</v>
      </c>
      <c r="K241" s="10">
        <f t="shared" si="45"/>
        <v>0</v>
      </c>
      <c r="L241" s="1">
        <v>0</v>
      </c>
      <c r="M241" s="17" t="str">
        <f t="shared" si="47"/>
        <v>N.,</v>
      </c>
      <c r="O241" s="1">
        <v>1</v>
      </c>
    </row>
    <row r="242" spans="1:15" x14ac:dyDescent="0.3">
      <c r="A242" s="1" t="str">
        <f>_xlfn.CONCAT("0b",D242:G242, " ", Table2[[#This Row],[D3]:[D0]])</f>
        <v>0b1110 1111</v>
      </c>
      <c r="B242" s="1" t="str">
        <f t="shared" si="46"/>
        <v>0xEF</v>
      </c>
      <c r="C242" s="10">
        <v>239</v>
      </c>
      <c r="D242" s="9">
        <f t="shared" si="38"/>
        <v>1</v>
      </c>
      <c r="E242" s="1">
        <f t="shared" si="39"/>
        <v>1</v>
      </c>
      <c r="F242" s="1">
        <f t="shared" si="40"/>
        <v>1</v>
      </c>
      <c r="G242" s="1">
        <f t="shared" si="41"/>
        <v>0</v>
      </c>
      <c r="H242" s="1">
        <f t="shared" si="42"/>
        <v>1</v>
      </c>
      <c r="I242" s="1">
        <f t="shared" si="43"/>
        <v>1</v>
      </c>
      <c r="J242" s="1">
        <f t="shared" si="44"/>
        <v>1</v>
      </c>
      <c r="K242" s="10">
        <f t="shared" si="45"/>
        <v>1</v>
      </c>
      <c r="L242" s="1">
        <v>0</v>
      </c>
      <c r="M242" s="17" t="str">
        <f t="shared" si="47"/>
        <v>O.,</v>
      </c>
      <c r="O242" s="1">
        <v>1</v>
      </c>
    </row>
    <row r="243" spans="1:15" x14ac:dyDescent="0.3">
      <c r="A243" s="1" t="str">
        <f>_xlfn.CONCAT("0b",D243:G243, " ", Table2[[#This Row],[D3]:[D0]])</f>
        <v>0b1111 0000</v>
      </c>
      <c r="B243" s="1" t="str">
        <f t="shared" si="46"/>
        <v>0xF0</v>
      </c>
      <c r="C243" s="10">
        <v>240</v>
      </c>
      <c r="D243" s="9">
        <f t="shared" si="38"/>
        <v>1</v>
      </c>
      <c r="E243" s="1">
        <f t="shared" si="39"/>
        <v>1</v>
      </c>
      <c r="F243" s="1">
        <f t="shared" si="40"/>
        <v>1</v>
      </c>
      <c r="G243" s="1">
        <f t="shared" si="41"/>
        <v>1</v>
      </c>
      <c r="H243" s="1">
        <f t="shared" si="42"/>
        <v>0</v>
      </c>
      <c r="I243" s="1">
        <f t="shared" si="43"/>
        <v>0</v>
      </c>
      <c r="J243" s="1">
        <f t="shared" si="44"/>
        <v>0</v>
      </c>
      <c r="K243" s="10">
        <f t="shared" si="45"/>
        <v>0</v>
      </c>
      <c r="L243" s="1">
        <v>0</v>
      </c>
      <c r="M243" s="17" t="str">
        <f t="shared" si="47"/>
        <v>P.,</v>
      </c>
      <c r="O243" s="1">
        <v>1</v>
      </c>
    </row>
    <row r="244" spans="1:15" x14ac:dyDescent="0.3">
      <c r="A244" s="1" t="str">
        <f>_xlfn.CONCAT("0b",D244:G244, " ", Table2[[#This Row],[D3]:[D0]])</f>
        <v>0b1111 0001</v>
      </c>
      <c r="B244" s="1" t="str">
        <f t="shared" si="46"/>
        <v>0xF1</v>
      </c>
      <c r="C244" s="10">
        <v>241</v>
      </c>
      <c r="D244" s="9">
        <f t="shared" si="38"/>
        <v>1</v>
      </c>
      <c r="E244" s="1">
        <f t="shared" si="39"/>
        <v>1</v>
      </c>
      <c r="F244" s="1">
        <f t="shared" si="40"/>
        <v>1</v>
      </c>
      <c r="G244" s="1">
        <f t="shared" si="41"/>
        <v>1</v>
      </c>
      <c r="H244" s="1">
        <f t="shared" si="42"/>
        <v>0</v>
      </c>
      <c r="I244" s="1">
        <f t="shared" si="43"/>
        <v>0</v>
      </c>
      <c r="J244" s="1">
        <f t="shared" si="44"/>
        <v>0</v>
      </c>
      <c r="K244" s="10">
        <f t="shared" si="45"/>
        <v>1</v>
      </c>
      <c r="L244" s="1">
        <v>0</v>
      </c>
      <c r="M244" s="17" t="str">
        <f t="shared" si="47"/>
        <v>Q.,</v>
      </c>
      <c r="O244" s="1">
        <v>1</v>
      </c>
    </row>
    <row r="245" spans="1:15" x14ac:dyDescent="0.3">
      <c r="A245" s="1" t="str">
        <f>_xlfn.CONCAT("0b",D245:G245, " ", Table2[[#This Row],[D3]:[D0]])</f>
        <v>0b1111 0010</v>
      </c>
      <c r="B245" s="1" t="str">
        <f t="shared" si="46"/>
        <v>0xF2</v>
      </c>
      <c r="C245" s="10">
        <v>242</v>
      </c>
      <c r="D245" s="9">
        <f t="shared" si="38"/>
        <v>1</v>
      </c>
      <c r="E245" s="1">
        <f t="shared" si="39"/>
        <v>1</v>
      </c>
      <c r="F245" s="1">
        <f t="shared" si="40"/>
        <v>1</v>
      </c>
      <c r="G245" s="1">
        <f t="shared" si="41"/>
        <v>1</v>
      </c>
      <c r="H245" s="1">
        <f t="shared" si="42"/>
        <v>0</v>
      </c>
      <c r="I245" s="1">
        <f t="shared" si="43"/>
        <v>0</v>
      </c>
      <c r="J245" s="1">
        <f t="shared" si="44"/>
        <v>1</v>
      </c>
      <c r="K245" s="10">
        <f t="shared" si="45"/>
        <v>0</v>
      </c>
      <c r="L245" s="1">
        <v>0</v>
      </c>
      <c r="M245" s="17" t="str">
        <f t="shared" si="47"/>
        <v>R.,</v>
      </c>
      <c r="O245" s="1">
        <v>1</v>
      </c>
    </row>
    <row r="246" spans="1:15" x14ac:dyDescent="0.3">
      <c r="A246" s="1" t="str">
        <f>_xlfn.CONCAT("0b",D246:G246, " ", Table2[[#This Row],[D3]:[D0]])</f>
        <v>0b1111 0011</v>
      </c>
      <c r="B246" s="1" t="str">
        <f t="shared" si="46"/>
        <v>0xF3</v>
      </c>
      <c r="C246" s="10">
        <v>243</v>
      </c>
      <c r="D246" s="9">
        <f t="shared" si="38"/>
        <v>1</v>
      </c>
      <c r="E246" s="1">
        <f t="shared" si="39"/>
        <v>1</v>
      </c>
      <c r="F246" s="1">
        <f t="shared" si="40"/>
        <v>1</v>
      </c>
      <c r="G246" s="1">
        <f t="shared" si="41"/>
        <v>1</v>
      </c>
      <c r="H246" s="1">
        <f t="shared" si="42"/>
        <v>0</v>
      </c>
      <c r="I246" s="1">
        <f t="shared" si="43"/>
        <v>0</v>
      </c>
      <c r="J246" s="1">
        <f t="shared" si="44"/>
        <v>1</v>
      </c>
      <c r="K246" s="10">
        <f t="shared" si="45"/>
        <v>1</v>
      </c>
      <c r="L246" s="1">
        <v>0</v>
      </c>
      <c r="M246" s="17" t="str">
        <f t="shared" si="47"/>
        <v>S.,</v>
      </c>
      <c r="O246" s="1">
        <v>1</v>
      </c>
    </row>
    <row r="247" spans="1:15" x14ac:dyDescent="0.3">
      <c r="A247" s="1" t="str">
        <f>_xlfn.CONCAT("0b",D247:G247, " ", Table2[[#This Row],[D3]:[D0]])</f>
        <v>0b1111 0100</v>
      </c>
      <c r="B247" s="1" t="str">
        <f t="shared" si="46"/>
        <v>0xF4</v>
      </c>
      <c r="C247" s="10">
        <v>244</v>
      </c>
      <c r="D247" s="9">
        <f t="shared" si="38"/>
        <v>1</v>
      </c>
      <c r="E247" s="1">
        <f t="shared" si="39"/>
        <v>1</v>
      </c>
      <c r="F247" s="1">
        <f t="shared" si="40"/>
        <v>1</v>
      </c>
      <c r="G247" s="1">
        <f t="shared" si="41"/>
        <v>1</v>
      </c>
      <c r="H247" s="1">
        <f t="shared" si="42"/>
        <v>0</v>
      </c>
      <c r="I247" s="1">
        <f t="shared" si="43"/>
        <v>1</v>
      </c>
      <c r="J247" s="1">
        <f t="shared" si="44"/>
        <v>0</v>
      </c>
      <c r="K247" s="10">
        <f t="shared" si="45"/>
        <v>0</v>
      </c>
      <c r="L247" s="1">
        <v>0</v>
      </c>
      <c r="M247" s="17" t="str">
        <f t="shared" si="47"/>
        <v>T.,</v>
      </c>
      <c r="O247" s="1">
        <v>1</v>
      </c>
    </row>
    <row r="248" spans="1:15" x14ac:dyDescent="0.3">
      <c r="A248" s="1" t="str">
        <f>_xlfn.CONCAT("0b",D248:G248, " ", Table2[[#This Row],[D3]:[D0]])</f>
        <v>0b1111 0101</v>
      </c>
      <c r="B248" s="1" t="str">
        <f t="shared" si="46"/>
        <v>0xF5</v>
      </c>
      <c r="C248" s="10">
        <v>245</v>
      </c>
      <c r="D248" s="9">
        <f t="shared" si="38"/>
        <v>1</v>
      </c>
      <c r="E248" s="1">
        <f t="shared" si="39"/>
        <v>1</v>
      </c>
      <c r="F248" s="1">
        <f t="shared" si="40"/>
        <v>1</v>
      </c>
      <c r="G248" s="1">
        <f t="shared" si="41"/>
        <v>1</v>
      </c>
      <c r="H248" s="1">
        <f t="shared" si="42"/>
        <v>0</v>
      </c>
      <c r="I248" s="1">
        <f t="shared" si="43"/>
        <v>1</v>
      </c>
      <c r="J248" s="1">
        <f t="shared" si="44"/>
        <v>0</v>
      </c>
      <c r="K248" s="10">
        <f t="shared" si="45"/>
        <v>1</v>
      </c>
      <c r="L248" s="1">
        <v>0</v>
      </c>
      <c r="M248" s="17" t="str">
        <f t="shared" si="47"/>
        <v>U.,</v>
      </c>
      <c r="O248" s="1">
        <v>1</v>
      </c>
    </row>
    <row r="249" spans="1:15" x14ac:dyDescent="0.3">
      <c r="A249" s="1" t="str">
        <f>_xlfn.CONCAT("0b",D249:G249, " ", Table2[[#This Row],[D3]:[D0]])</f>
        <v>0b1111 0110</v>
      </c>
      <c r="B249" s="1" t="str">
        <f t="shared" si="46"/>
        <v>0xF6</v>
      </c>
      <c r="C249" s="10">
        <v>246</v>
      </c>
      <c r="D249" s="9">
        <f t="shared" si="38"/>
        <v>1</v>
      </c>
      <c r="E249" s="1">
        <f t="shared" si="39"/>
        <v>1</v>
      </c>
      <c r="F249" s="1">
        <f t="shared" si="40"/>
        <v>1</v>
      </c>
      <c r="G249" s="1">
        <f t="shared" si="41"/>
        <v>1</v>
      </c>
      <c r="H249" s="1">
        <f t="shared" si="42"/>
        <v>0</v>
      </c>
      <c r="I249" s="1">
        <f t="shared" si="43"/>
        <v>1</v>
      </c>
      <c r="J249" s="1">
        <f t="shared" si="44"/>
        <v>1</v>
      </c>
      <c r="K249" s="10">
        <f t="shared" si="45"/>
        <v>0</v>
      </c>
      <c r="L249" s="1">
        <v>0</v>
      </c>
      <c r="M249" s="17" t="str">
        <f t="shared" si="47"/>
        <v>V.,</v>
      </c>
      <c r="O249" s="1">
        <v>1</v>
      </c>
    </row>
    <row r="250" spans="1:15" x14ac:dyDescent="0.3">
      <c r="A250" s="1" t="str">
        <f>_xlfn.CONCAT("0b",D250:G250, " ", Table2[[#This Row],[D3]:[D0]])</f>
        <v>0b1111 0111</v>
      </c>
      <c r="B250" s="1" t="str">
        <f t="shared" si="46"/>
        <v>0xF7</v>
      </c>
      <c r="C250" s="10">
        <v>247</v>
      </c>
      <c r="D250" s="9">
        <f t="shared" si="38"/>
        <v>1</v>
      </c>
      <c r="E250" s="1">
        <f t="shared" si="39"/>
        <v>1</v>
      </c>
      <c r="F250" s="1">
        <f t="shared" si="40"/>
        <v>1</v>
      </c>
      <c r="G250" s="1">
        <f t="shared" si="41"/>
        <v>1</v>
      </c>
      <c r="H250" s="1">
        <f t="shared" si="42"/>
        <v>0</v>
      </c>
      <c r="I250" s="1">
        <f t="shared" si="43"/>
        <v>1</v>
      </c>
      <c r="J250" s="1">
        <f t="shared" si="44"/>
        <v>1</v>
      </c>
      <c r="K250" s="10">
        <f t="shared" si="45"/>
        <v>1</v>
      </c>
      <c r="L250" s="1">
        <v>0</v>
      </c>
      <c r="M250" s="17" t="str">
        <f t="shared" si="47"/>
        <v>W.,</v>
      </c>
      <c r="O250" s="1">
        <v>1</v>
      </c>
    </row>
    <row r="251" spans="1:15" x14ac:dyDescent="0.3">
      <c r="A251" s="1" t="str">
        <f>_xlfn.CONCAT("0b",D251:G251, " ", Table2[[#This Row],[D3]:[D0]])</f>
        <v>0b1111 1000</v>
      </c>
      <c r="B251" s="1" t="str">
        <f t="shared" si="46"/>
        <v>0xF8</v>
      </c>
      <c r="C251" s="10">
        <v>248</v>
      </c>
      <c r="D251" s="9">
        <f t="shared" si="38"/>
        <v>1</v>
      </c>
      <c r="E251" s="1">
        <f t="shared" si="39"/>
        <v>1</v>
      </c>
      <c r="F251" s="1">
        <f t="shared" si="40"/>
        <v>1</v>
      </c>
      <c r="G251" s="1">
        <f t="shared" si="41"/>
        <v>1</v>
      </c>
      <c r="H251" s="1">
        <f t="shared" si="42"/>
        <v>1</v>
      </c>
      <c r="I251" s="1">
        <f t="shared" si="43"/>
        <v>0</v>
      </c>
      <c r="J251" s="1">
        <f t="shared" si="44"/>
        <v>0</v>
      </c>
      <c r="K251" s="10">
        <f t="shared" si="45"/>
        <v>0</v>
      </c>
      <c r="L251" s="1">
        <v>0</v>
      </c>
      <c r="M251" s="17" t="str">
        <f t="shared" si="47"/>
        <v>X.,</v>
      </c>
      <c r="O251" s="1">
        <v>1</v>
      </c>
    </row>
    <row r="252" spans="1:15" x14ac:dyDescent="0.3">
      <c r="A252" s="1" t="str">
        <f>_xlfn.CONCAT("0b",D252:G252, " ", Table2[[#This Row],[D3]:[D0]])</f>
        <v>0b1111 1001</v>
      </c>
      <c r="B252" s="1" t="str">
        <f t="shared" si="46"/>
        <v>0xF9</v>
      </c>
      <c r="C252" s="10">
        <v>249</v>
      </c>
      <c r="D252" s="9">
        <f t="shared" si="38"/>
        <v>1</v>
      </c>
      <c r="E252" s="1">
        <f t="shared" si="39"/>
        <v>1</v>
      </c>
      <c r="F252" s="1">
        <f t="shared" si="40"/>
        <v>1</v>
      </c>
      <c r="G252" s="1">
        <f t="shared" si="41"/>
        <v>1</v>
      </c>
      <c r="H252" s="1">
        <f t="shared" si="42"/>
        <v>1</v>
      </c>
      <c r="I252" s="1">
        <f t="shared" si="43"/>
        <v>0</v>
      </c>
      <c r="J252" s="1">
        <f t="shared" si="44"/>
        <v>0</v>
      </c>
      <c r="K252" s="10">
        <f t="shared" si="45"/>
        <v>1</v>
      </c>
      <c r="L252" s="1">
        <v>0</v>
      </c>
      <c r="M252" s="17" t="str">
        <f t="shared" si="47"/>
        <v>Y.,</v>
      </c>
      <c r="O252" s="1">
        <v>1</v>
      </c>
    </row>
    <row r="253" spans="1:15" x14ac:dyDescent="0.3">
      <c r="A253" s="1" t="str">
        <f>_xlfn.CONCAT("0b",D253:G253, " ", Table2[[#This Row],[D3]:[D0]])</f>
        <v>0b1111 1010</v>
      </c>
      <c r="B253" s="1" t="str">
        <f t="shared" si="46"/>
        <v>0xFA</v>
      </c>
      <c r="C253" s="10">
        <v>250</v>
      </c>
      <c r="D253" s="9">
        <f t="shared" si="38"/>
        <v>1</v>
      </c>
      <c r="E253" s="1">
        <f t="shared" si="39"/>
        <v>1</v>
      </c>
      <c r="F253" s="1">
        <f t="shared" si="40"/>
        <v>1</v>
      </c>
      <c r="G253" s="1">
        <f t="shared" si="41"/>
        <v>1</v>
      </c>
      <c r="H253" s="1">
        <f t="shared" si="42"/>
        <v>1</v>
      </c>
      <c r="I253" s="1">
        <f t="shared" si="43"/>
        <v>0</v>
      </c>
      <c r="J253" s="1">
        <f t="shared" si="44"/>
        <v>1</v>
      </c>
      <c r="K253" s="10">
        <f t="shared" si="45"/>
        <v>0</v>
      </c>
      <c r="L253" s="1">
        <v>0</v>
      </c>
      <c r="M253" s="17" t="str">
        <f t="shared" si="47"/>
        <v>Z.,</v>
      </c>
      <c r="O253" s="1">
        <v>1</v>
      </c>
    </row>
    <row r="254" spans="1:15" x14ac:dyDescent="0.3">
      <c r="A254" s="1" t="str">
        <f>_xlfn.CONCAT("0b",D254:G254, " ", Table2[[#This Row],[D3]:[D0]])</f>
        <v>0b1111 1011</v>
      </c>
      <c r="B254" s="1" t="str">
        <f t="shared" si="37"/>
        <v>0xFB</v>
      </c>
      <c r="C254" s="10">
        <v>251</v>
      </c>
      <c r="D254" s="9">
        <f t="shared" si="38"/>
        <v>1</v>
      </c>
      <c r="E254" s="1">
        <f t="shared" si="39"/>
        <v>1</v>
      </c>
      <c r="F254" s="1">
        <f t="shared" si="40"/>
        <v>1</v>
      </c>
      <c r="G254" s="1">
        <f t="shared" si="41"/>
        <v>1</v>
      </c>
      <c r="H254" s="1">
        <f t="shared" si="42"/>
        <v>1</v>
      </c>
      <c r="I254" s="1">
        <f t="shared" si="43"/>
        <v>0</v>
      </c>
      <c r="J254" s="1">
        <f t="shared" si="44"/>
        <v>1</v>
      </c>
      <c r="K254" s="10">
        <f t="shared" si="45"/>
        <v>1</v>
      </c>
      <c r="L254" s="1">
        <v>0</v>
      </c>
      <c r="M254" s="17" t="str">
        <f t="shared" ref="M254" si="48">_xlfn.CONCAT(M126,".")</f>
        <v>∑.</v>
      </c>
      <c r="O254" s="1">
        <v>1</v>
      </c>
    </row>
    <row r="255" spans="1:15" x14ac:dyDescent="0.3">
      <c r="A255" s="1" t="str">
        <f>_xlfn.CONCAT("0b",D255:G255, " ", Table2[[#This Row],[D3]:[D0]])</f>
        <v>0b1111 1100</v>
      </c>
      <c r="B255" s="1" t="str">
        <f t="shared" si="37"/>
        <v>0xFC</v>
      </c>
      <c r="C255" s="10">
        <v>252</v>
      </c>
      <c r="D255" s="9">
        <f t="shared" si="38"/>
        <v>1</v>
      </c>
      <c r="E255" s="1">
        <f t="shared" si="39"/>
        <v>1</v>
      </c>
      <c r="F255" s="1">
        <f t="shared" si="40"/>
        <v>1</v>
      </c>
      <c r="G255" s="1">
        <f t="shared" si="41"/>
        <v>1</v>
      </c>
      <c r="H255" s="1">
        <f t="shared" si="42"/>
        <v>1</v>
      </c>
      <c r="I255" s="1">
        <f t="shared" si="43"/>
        <v>1</v>
      </c>
      <c r="J255" s="1">
        <f t="shared" si="44"/>
        <v>0</v>
      </c>
      <c r="K255" s="10">
        <f t="shared" si="45"/>
        <v>0</v>
      </c>
      <c r="L255" s="1">
        <v>0</v>
      </c>
      <c r="M255" s="17" t="s">
        <v>92</v>
      </c>
      <c r="O255" s="1">
        <v>1</v>
      </c>
    </row>
    <row r="256" spans="1:15" x14ac:dyDescent="0.3">
      <c r="A256" s="1" t="str">
        <f>_xlfn.CONCAT("0b",D256:G256, " ", Table2[[#This Row],[D3]:[D0]])</f>
        <v>0b1111 1101</v>
      </c>
      <c r="B256" s="1" t="str">
        <f t="shared" si="37"/>
        <v>0xFD</v>
      </c>
      <c r="C256" s="10">
        <v>253</v>
      </c>
      <c r="D256" s="9">
        <f t="shared" si="38"/>
        <v>1</v>
      </c>
      <c r="E256" s="1">
        <f t="shared" si="39"/>
        <v>1</v>
      </c>
      <c r="F256" s="1">
        <f t="shared" si="40"/>
        <v>1</v>
      </c>
      <c r="G256" s="1">
        <f t="shared" si="41"/>
        <v>1</v>
      </c>
      <c r="H256" s="1">
        <f t="shared" si="42"/>
        <v>1</v>
      </c>
      <c r="I256" s="1">
        <f t="shared" si="43"/>
        <v>1</v>
      </c>
      <c r="J256" s="1">
        <f t="shared" si="44"/>
        <v>0</v>
      </c>
      <c r="K256" s="10">
        <f t="shared" si="45"/>
        <v>1</v>
      </c>
      <c r="L256" s="1">
        <v>0</v>
      </c>
      <c r="M256" s="17" t="s">
        <v>93</v>
      </c>
      <c r="O256" s="1">
        <v>1</v>
      </c>
    </row>
    <row r="257" spans="1:16" x14ac:dyDescent="0.3">
      <c r="A257" s="1" t="str">
        <f>_xlfn.CONCAT("0b",D257:G257, " ", Table2[[#This Row],[D3]:[D0]])</f>
        <v>0b1111 1110</v>
      </c>
      <c r="B257" s="1" t="str">
        <f t="shared" si="37"/>
        <v>0xFE</v>
      </c>
      <c r="C257" s="10">
        <v>254</v>
      </c>
      <c r="D257" s="9">
        <f t="shared" si="38"/>
        <v>1</v>
      </c>
      <c r="E257" s="1">
        <f t="shared" si="39"/>
        <v>1</v>
      </c>
      <c r="F257" s="1">
        <f t="shared" si="40"/>
        <v>1</v>
      </c>
      <c r="G257" s="1">
        <f t="shared" si="41"/>
        <v>1</v>
      </c>
      <c r="H257" s="1">
        <f t="shared" si="42"/>
        <v>1</v>
      </c>
      <c r="I257" s="1">
        <f t="shared" si="43"/>
        <v>1</v>
      </c>
      <c r="J257" s="1">
        <f t="shared" si="44"/>
        <v>1</v>
      </c>
      <c r="K257" s="10">
        <f t="shared" si="45"/>
        <v>0</v>
      </c>
      <c r="L257" s="1">
        <v>0</v>
      </c>
      <c r="M257" s="18" t="s">
        <v>94</v>
      </c>
      <c r="O257" s="1">
        <v>1</v>
      </c>
      <c r="P257" s="18"/>
    </row>
    <row r="258" spans="1:16" x14ac:dyDescent="0.3">
      <c r="A258" s="1" t="str">
        <f>_xlfn.CONCAT("0b",D258:G258, " ", Table2[[#This Row],[D3]:[D0]])</f>
        <v>0b1111 1111</v>
      </c>
      <c r="B258" s="1" t="str">
        <f t="shared" si="37"/>
        <v>0xFF</v>
      </c>
      <c r="C258" s="10">
        <v>255</v>
      </c>
      <c r="D258" s="9">
        <f t="shared" si="38"/>
        <v>1</v>
      </c>
      <c r="E258" s="1">
        <f t="shared" si="39"/>
        <v>1</v>
      </c>
      <c r="F258" s="1">
        <f t="shared" si="40"/>
        <v>1</v>
      </c>
      <c r="G258" s="1">
        <f t="shared" si="41"/>
        <v>1</v>
      </c>
      <c r="H258" s="1">
        <f t="shared" si="42"/>
        <v>1</v>
      </c>
      <c r="I258" s="1">
        <f t="shared" si="43"/>
        <v>1</v>
      </c>
      <c r="J258" s="1">
        <f t="shared" si="44"/>
        <v>1</v>
      </c>
      <c r="K258" s="10">
        <f t="shared" si="45"/>
        <v>1</v>
      </c>
      <c r="L258" s="1">
        <v>0</v>
      </c>
      <c r="M258" s="17" t="s">
        <v>95</v>
      </c>
      <c r="O258" s="1">
        <v>1</v>
      </c>
    </row>
    <row r="259" spans="1:16" x14ac:dyDescent="0.3">
      <c r="M259" s="1"/>
      <c r="P259" s="1"/>
    </row>
    <row r="260" spans="1:16" x14ac:dyDescent="0.3">
      <c r="M260" s="1"/>
      <c r="P260" s="1"/>
    </row>
    <row r="261" spans="1:16" x14ac:dyDescent="0.3">
      <c r="M261" s="1"/>
      <c r="P261" s="1"/>
    </row>
    <row r="262" spans="1:16" x14ac:dyDescent="0.3">
      <c r="M262" s="1"/>
      <c r="P262" s="1"/>
    </row>
    <row r="263" spans="1:16" x14ac:dyDescent="0.3">
      <c r="M263" s="1"/>
      <c r="P263" s="1"/>
    </row>
    <row r="264" spans="1:16" x14ac:dyDescent="0.3">
      <c r="M264" s="1"/>
      <c r="P264" s="1"/>
    </row>
    <row r="265" spans="1:16" x14ac:dyDescent="0.3">
      <c r="M265" s="1"/>
      <c r="P265" s="1"/>
    </row>
    <row r="266" spans="1:16" x14ac:dyDescent="0.3">
      <c r="M266" s="1"/>
      <c r="P266" s="1"/>
    </row>
    <row r="267" spans="1:16" x14ac:dyDescent="0.3">
      <c r="M267" s="1"/>
      <c r="P267" s="1"/>
    </row>
    <row r="268" spans="1:16" x14ac:dyDescent="0.3">
      <c r="M268" s="1"/>
      <c r="P268" s="1"/>
    </row>
    <row r="269" spans="1:16" x14ac:dyDescent="0.3">
      <c r="M269" s="1"/>
      <c r="P269" s="1"/>
    </row>
    <row r="270" spans="1:16" x14ac:dyDescent="0.3">
      <c r="M270" s="1"/>
      <c r="P270" s="1"/>
    </row>
    <row r="271" spans="1:16" x14ac:dyDescent="0.3">
      <c r="M271" s="1"/>
      <c r="P271" s="1"/>
    </row>
    <row r="272" spans="1:16" x14ac:dyDescent="0.3">
      <c r="M272" s="1"/>
      <c r="P272" s="1"/>
    </row>
    <row r="273" spans="13:16" x14ac:dyDescent="0.3">
      <c r="M273" s="1"/>
      <c r="P273" s="1"/>
    </row>
    <row r="274" spans="13:16" x14ac:dyDescent="0.3">
      <c r="M274" s="1"/>
      <c r="P274" s="1"/>
    </row>
    <row r="275" spans="13:16" x14ac:dyDescent="0.3">
      <c r="M275" s="1"/>
      <c r="P275" s="1"/>
    </row>
    <row r="276" spans="13:16" x14ac:dyDescent="0.3">
      <c r="M276" s="1"/>
      <c r="P276" s="1"/>
    </row>
    <row r="277" spans="13:16" x14ac:dyDescent="0.3">
      <c r="M277" s="1"/>
      <c r="P277" s="1"/>
    </row>
    <row r="278" spans="13:16" x14ac:dyDescent="0.3">
      <c r="M278" s="1"/>
      <c r="P278" s="1"/>
    </row>
    <row r="279" spans="13:16" x14ac:dyDescent="0.3">
      <c r="M279" s="1"/>
      <c r="P279" s="1"/>
    </row>
    <row r="280" spans="13:16" x14ac:dyDescent="0.3">
      <c r="M280" s="1"/>
      <c r="P280" s="1"/>
    </row>
    <row r="281" spans="13:16" x14ac:dyDescent="0.3">
      <c r="M281" s="1"/>
      <c r="P281" s="1"/>
    </row>
    <row r="282" spans="13:16" x14ac:dyDescent="0.3">
      <c r="M282" s="1"/>
      <c r="P282" s="1"/>
    </row>
    <row r="283" spans="13:16" x14ac:dyDescent="0.3">
      <c r="M283" s="1"/>
      <c r="P283" s="1"/>
    </row>
    <row r="284" spans="13:16" x14ac:dyDescent="0.3">
      <c r="M284" s="1"/>
      <c r="P284" s="1"/>
    </row>
    <row r="285" spans="13:16" x14ac:dyDescent="0.3">
      <c r="M285" s="1"/>
      <c r="P285" s="1"/>
    </row>
    <row r="286" spans="13:16" x14ac:dyDescent="0.3">
      <c r="M286" s="1"/>
      <c r="P286" s="1"/>
    </row>
    <row r="287" spans="13:16" x14ac:dyDescent="0.3">
      <c r="M287" s="1"/>
      <c r="P287" s="1"/>
    </row>
    <row r="288" spans="13:16" x14ac:dyDescent="0.3">
      <c r="M288" s="1"/>
      <c r="P288" s="1"/>
    </row>
    <row r="289" spans="13:16" x14ac:dyDescent="0.3">
      <c r="M289" s="1"/>
      <c r="P289" s="1"/>
    </row>
    <row r="290" spans="13:16" x14ac:dyDescent="0.3">
      <c r="M290" s="1"/>
      <c r="P290" s="1"/>
    </row>
    <row r="291" spans="13:16" x14ac:dyDescent="0.3">
      <c r="M291" s="1"/>
      <c r="P291" s="1"/>
    </row>
    <row r="292" spans="13:16" x14ac:dyDescent="0.3">
      <c r="M292" s="1"/>
      <c r="P292" s="1"/>
    </row>
    <row r="293" spans="13:16" x14ac:dyDescent="0.3">
      <c r="M293" s="1"/>
      <c r="P293" s="1"/>
    </row>
    <row r="294" spans="13:16" x14ac:dyDescent="0.3">
      <c r="M294" s="1"/>
      <c r="P294" s="1"/>
    </row>
    <row r="295" spans="13:16" x14ac:dyDescent="0.3">
      <c r="M295" s="1"/>
      <c r="P295" s="1"/>
    </row>
    <row r="296" spans="13:16" x14ac:dyDescent="0.3">
      <c r="M296" s="1"/>
      <c r="P296" s="1"/>
    </row>
    <row r="297" spans="13:16" x14ac:dyDescent="0.3">
      <c r="M297" s="1"/>
      <c r="P297" s="1"/>
    </row>
    <row r="298" spans="13:16" x14ac:dyDescent="0.3">
      <c r="M298" s="1"/>
      <c r="P298" s="1"/>
    </row>
    <row r="299" spans="13:16" x14ac:dyDescent="0.3">
      <c r="M299" s="1"/>
      <c r="P299" s="1"/>
    </row>
    <row r="300" spans="13:16" x14ac:dyDescent="0.3">
      <c r="M300" s="1"/>
      <c r="P300" s="1"/>
    </row>
    <row r="301" spans="13:16" x14ac:dyDescent="0.3">
      <c r="M301" s="1"/>
      <c r="P301" s="1"/>
    </row>
    <row r="302" spans="13:16" x14ac:dyDescent="0.3">
      <c r="M302" s="1"/>
      <c r="P302" s="1"/>
    </row>
    <row r="303" spans="13:16" x14ac:dyDescent="0.3">
      <c r="M303" s="1"/>
      <c r="P303" s="1"/>
    </row>
    <row r="304" spans="13:16" x14ac:dyDescent="0.3">
      <c r="M304" s="1"/>
      <c r="P304" s="1"/>
    </row>
    <row r="305" spans="13:16" x14ac:dyDescent="0.3">
      <c r="M305" s="1"/>
      <c r="P305" s="1"/>
    </row>
    <row r="306" spans="13:16" x14ac:dyDescent="0.3">
      <c r="M306" s="1"/>
      <c r="P306" s="1"/>
    </row>
    <row r="307" spans="13:16" x14ac:dyDescent="0.3">
      <c r="M307" s="1"/>
      <c r="P307" s="1"/>
    </row>
    <row r="308" spans="13:16" x14ac:dyDescent="0.3">
      <c r="M308" s="1"/>
      <c r="P308" s="1"/>
    </row>
    <row r="309" spans="13:16" x14ac:dyDescent="0.3">
      <c r="M309" s="1"/>
      <c r="P309" s="1"/>
    </row>
    <row r="310" spans="13:16" x14ac:dyDescent="0.3">
      <c r="M310" s="1"/>
      <c r="P310" s="1"/>
    </row>
    <row r="311" spans="13:16" x14ac:dyDescent="0.3">
      <c r="M311" s="1"/>
      <c r="P311" s="1"/>
    </row>
    <row r="312" spans="13:16" x14ac:dyDescent="0.3">
      <c r="M312" s="1"/>
      <c r="P312" s="1"/>
    </row>
    <row r="313" spans="13:16" x14ac:dyDescent="0.3">
      <c r="M313" s="1"/>
      <c r="P313" s="1"/>
    </row>
    <row r="314" spans="13:16" x14ac:dyDescent="0.3">
      <c r="M314" s="1"/>
      <c r="P314" s="1"/>
    </row>
    <row r="315" spans="13:16" x14ac:dyDescent="0.3">
      <c r="M315" s="1"/>
      <c r="P315" s="1"/>
    </row>
    <row r="316" spans="13:16" x14ac:dyDescent="0.3">
      <c r="M316" s="1"/>
      <c r="P316" s="1"/>
    </row>
    <row r="317" spans="13:16" x14ac:dyDescent="0.3">
      <c r="M317" s="1"/>
      <c r="P317" s="1"/>
    </row>
    <row r="318" spans="13:16" x14ac:dyDescent="0.3">
      <c r="M318" s="1"/>
      <c r="P318" s="1"/>
    </row>
    <row r="319" spans="13:16" x14ac:dyDescent="0.3">
      <c r="M319" s="1"/>
      <c r="P319" s="1"/>
    </row>
    <row r="320" spans="13:16" x14ac:dyDescent="0.3">
      <c r="M320" s="1"/>
      <c r="P320" s="1"/>
    </row>
    <row r="321" spans="13:16" x14ac:dyDescent="0.3">
      <c r="M321" s="1"/>
      <c r="P321" s="1"/>
    </row>
    <row r="322" spans="13:16" x14ac:dyDescent="0.3">
      <c r="M322" s="1"/>
      <c r="P322" s="1"/>
    </row>
    <row r="323" spans="13:16" x14ac:dyDescent="0.3">
      <c r="M323" s="1"/>
      <c r="P323" s="1"/>
    </row>
    <row r="324" spans="13:16" x14ac:dyDescent="0.3">
      <c r="M324" s="1"/>
      <c r="P324" s="1"/>
    </row>
    <row r="325" spans="13:16" x14ac:dyDescent="0.3">
      <c r="M325" s="1"/>
      <c r="P325" s="1"/>
    </row>
    <row r="326" spans="13:16" x14ac:dyDescent="0.3">
      <c r="M326" s="1"/>
      <c r="P326" s="1"/>
    </row>
    <row r="327" spans="13:16" x14ac:dyDescent="0.3">
      <c r="M327" s="1"/>
      <c r="P327" s="1"/>
    </row>
    <row r="328" spans="13:16" x14ac:dyDescent="0.3">
      <c r="M328" s="1"/>
      <c r="P328" s="1"/>
    </row>
    <row r="329" spans="13:16" x14ac:dyDescent="0.3">
      <c r="M329" s="1"/>
      <c r="P329" s="1"/>
    </row>
    <row r="330" spans="13:16" x14ac:dyDescent="0.3">
      <c r="M330" s="1"/>
      <c r="P330" s="1"/>
    </row>
    <row r="331" spans="13:16" x14ac:dyDescent="0.3">
      <c r="M331" s="1"/>
      <c r="P331" s="1"/>
    </row>
    <row r="332" spans="13:16" x14ac:dyDescent="0.3">
      <c r="M332" s="1"/>
      <c r="P332" s="1"/>
    </row>
    <row r="333" spans="13:16" x14ac:dyDescent="0.3">
      <c r="M333" s="1"/>
      <c r="P333" s="1"/>
    </row>
    <row r="334" spans="13:16" x14ac:dyDescent="0.3">
      <c r="M334" s="1"/>
      <c r="P334" s="1"/>
    </row>
    <row r="335" spans="13:16" x14ac:dyDescent="0.3">
      <c r="M335" s="1"/>
      <c r="P335" s="1"/>
    </row>
    <row r="336" spans="13:16" x14ac:dyDescent="0.3">
      <c r="M336" s="1"/>
      <c r="P336" s="1"/>
    </row>
    <row r="337" spans="13:16" x14ac:dyDescent="0.3">
      <c r="M337" s="1"/>
      <c r="P337" s="1"/>
    </row>
    <row r="338" spans="13:16" x14ac:dyDescent="0.3">
      <c r="M338" s="1"/>
      <c r="P338" s="1"/>
    </row>
    <row r="339" spans="13:16" x14ac:dyDescent="0.3">
      <c r="M339" s="1"/>
      <c r="P339" s="1"/>
    </row>
    <row r="340" spans="13:16" x14ac:dyDescent="0.3">
      <c r="M340" s="1"/>
      <c r="P340" s="1"/>
    </row>
    <row r="341" spans="13:16" x14ac:dyDescent="0.3">
      <c r="M341" s="1"/>
      <c r="P341" s="1"/>
    </row>
    <row r="342" spans="13:16" x14ac:dyDescent="0.3">
      <c r="M342" s="1"/>
      <c r="P342" s="1"/>
    </row>
    <row r="343" spans="13:16" x14ac:dyDescent="0.3">
      <c r="M343" s="1"/>
      <c r="P343" s="1"/>
    </row>
    <row r="344" spans="13:16" x14ac:dyDescent="0.3">
      <c r="M344" s="1"/>
      <c r="P344" s="1"/>
    </row>
    <row r="345" spans="13:16" x14ac:dyDescent="0.3">
      <c r="M345" s="1"/>
      <c r="P345" s="1"/>
    </row>
    <row r="346" spans="13:16" x14ac:dyDescent="0.3">
      <c r="M346" s="1"/>
      <c r="P346" s="1"/>
    </row>
    <row r="347" spans="13:16" x14ac:dyDescent="0.3">
      <c r="M347" s="1"/>
      <c r="P347" s="1"/>
    </row>
    <row r="348" spans="13:16" x14ac:dyDescent="0.3">
      <c r="M348" s="1"/>
      <c r="P348" s="1"/>
    </row>
    <row r="349" spans="13:16" x14ac:dyDescent="0.3">
      <c r="M349" s="1"/>
      <c r="P349" s="1"/>
    </row>
    <row r="350" spans="13:16" x14ac:dyDescent="0.3">
      <c r="M350" s="1"/>
      <c r="P350" s="1"/>
    </row>
    <row r="351" spans="13:16" x14ac:dyDescent="0.3">
      <c r="M351" s="1"/>
      <c r="P351" s="1"/>
    </row>
    <row r="352" spans="13:16" x14ac:dyDescent="0.3">
      <c r="M352" s="1"/>
      <c r="P352" s="1"/>
    </row>
    <row r="353" spans="13:16" x14ac:dyDescent="0.3">
      <c r="M353" s="1"/>
      <c r="P353" s="1"/>
    </row>
    <row r="354" spans="13:16" x14ac:dyDescent="0.3">
      <c r="M354" s="1"/>
      <c r="P354" s="1"/>
    </row>
    <row r="355" spans="13:16" x14ac:dyDescent="0.3">
      <c r="M355" s="1"/>
      <c r="P355" s="1"/>
    </row>
    <row r="356" spans="13:16" x14ac:dyDescent="0.3">
      <c r="M356" s="1"/>
      <c r="P356" s="1"/>
    </row>
    <row r="357" spans="13:16" x14ac:dyDescent="0.3">
      <c r="M357" s="1"/>
      <c r="P357" s="1"/>
    </row>
    <row r="358" spans="13:16" x14ac:dyDescent="0.3">
      <c r="M358" s="1"/>
      <c r="P358" s="1"/>
    </row>
    <row r="359" spans="13:16" x14ac:dyDescent="0.3">
      <c r="M359" s="1"/>
      <c r="P359" s="1"/>
    </row>
    <row r="360" spans="13:16" x14ac:dyDescent="0.3">
      <c r="M360" s="1"/>
      <c r="P360" s="1"/>
    </row>
    <row r="361" spans="13:16" x14ac:dyDescent="0.3">
      <c r="M361" s="1"/>
      <c r="P361" s="1"/>
    </row>
    <row r="362" spans="13:16" x14ac:dyDescent="0.3">
      <c r="M362" s="1"/>
      <c r="P362" s="1"/>
    </row>
    <row r="363" spans="13:16" x14ac:dyDescent="0.3">
      <c r="M363" s="1"/>
      <c r="P363" s="1"/>
    </row>
    <row r="364" spans="13:16" x14ac:dyDescent="0.3">
      <c r="M364" s="1"/>
      <c r="P364" s="1"/>
    </row>
    <row r="365" spans="13:16" x14ac:dyDescent="0.3">
      <c r="M365" s="1"/>
      <c r="P365" s="1"/>
    </row>
    <row r="366" spans="13:16" x14ac:dyDescent="0.3">
      <c r="M366" s="1"/>
      <c r="P366" s="1"/>
    </row>
    <row r="367" spans="13:16" x14ac:dyDescent="0.3">
      <c r="M367" s="1"/>
      <c r="P367" s="1"/>
    </row>
    <row r="368" spans="13:16" x14ac:dyDescent="0.3">
      <c r="M368" s="1"/>
      <c r="P368" s="1"/>
    </row>
    <row r="369" spans="13:16" x14ac:dyDescent="0.3">
      <c r="M369" s="1"/>
      <c r="P369" s="1"/>
    </row>
    <row r="370" spans="13:16" x14ac:dyDescent="0.3">
      <c r="M370" s="1"/>
      <c r="P370" s="1"/>
    </row>
    <row r="371" spans="13:16" x14ac:dyDescent="0.3">
      <c r="M371" s="1"/>
      <c r="P371" s="1"/>
    </row>
    <row r="372" spans="13:16" x14ac:dyDescent="0.3">
      <c r="M372" s="1"/>
      <c r="P372" s="1"/>
    </row>
    <row r="373" spans="13:16" x14ac:dyDescent="0.3">
      <c r="M373" s="1"/>
      <c r="P373" s="1"/>
    </row>
    <row r="374" spans="13:16" x14ac:dyDescent="0.3">
      <c r="M374" s="1"/>
      <c r="P374" s="1"/>
    </row>
    <row r="375" spans="13:16" x14ac:dyDescent="0.3">
      <c r="M375" s="1"/>
      <c r="P375" s="1"/>
    </row>
    <row r="376" spans="13:16" x14ac:dyDescent="0.3">
      <c r="M376" s="1"/>
      <c r="P376" s="1"/>
    </row>
    <row r="377" spans="13:16" x14ac:dyDescent="0.3">
      <c r="M377" s="1"/>
      <c r="P377" s="1"/>
    </row>
    <row r="378" spans="13:16" x14ac:dyDescent="0.3">
      <c r="M378" s="1"/>
      <c r="P378" s="1"/>
    </row>
    <row r="379" spans="13:16" x14ac:dyDescent="0.3">
      <c r="M379" s="1"/>
      <c r="P379" s="1"/>
    </row>
    <row r="380" spans="13:16" x14ac:dyDescent="0.3">
      <c r="M380" s="1"/>
      <c r="P380" s="1"/>
    </row>
    <row r="381" spans="13:16" x14ac:dyDescent="0.3">
      <c r="M381" s="1"/>
      <c r="P381" s="1"/>
    </row>
    <row r="382" spans="13:16" x14ac:dyDescent="0.3">
      <c r="M382" s="1"/>
      <c r="P382" s="1"/>
    </row>
    <row r="383" spans="13:16" x14ac:dyDescent="0.3">
      <c r="M383" s="1"/>
      <c r="P383" s="1"/>
    </row>
    <row r="384" spans="13:16" x14ac:dyDescent="0.3">
      <c r="M384" s="1"/>
      <c r="P384" s="1"/>
    </row>
    <row r="385" spans="13:16" x14ac:dyDescent="0.3">
      <c r="M385" s="1"/>
      <c r="P385" s="1"/>
    </row>
    <row r="386" spans="13:16" x14ac:dyDescent="0.3">
      <c r="M386" s="1"/>
      <c r="P386" s="1"/>
    </row>
    <row r="387" spans="13:16" x14ac:dyDescent="0.3">
      <c r="M387" s="1"/>
      <c r="P387" s="1"/>
    </row>
    <row r="388" spans="13:16" x14ac:dyDescent="0.3">
      <c r="M388" s="1"/>
      <c r="P388" s="1"/>
    </row>
    <row r="389" spans="13:16" x14ac:dyDescent="0.3">
      <c r="M389" s="1"/>
      <c r="P389" s="1"/>
    </row>
    <row r="390" spans="13:16" x14ac:dyDescent="0.3">
      <c r="M390" s="1"/>
      <c r="P390" s="1"/>
    </row>
    <row r="391" spans="13:16" x14ac:dyDescent="0.3">
      <c r="M391" s="1"/>
      <c r="P391" s="1"/>
    </row>
    <row r="392" spans="13:16" x14ac:dyDescent="0.3">
      <c r="M392" s="1"/>
      <c r="P392" s="1"/>
    </row>
    <row r="393" spans="13:16" x14ac:dyDescent="0.3">
      <c r="M393" s="1"/>
      <c r="P393" s="1"/>
    </row>
    <row r="394" spans="13:16" x14ac:dyDescent="0.3">
      <c r="M394" s="1"/>
      <c r="P394" s="1"/>
    </row>
    <row r="395" spans="13:16" x14ac:dyDescent="0.3">
      <c r="M395" s="1"/>
      <c r="P395" s="1"/>
    </row>
    <row r="396" spans="13:16" x14ac:dyDescent="0.3">
      <c r="M396" s="1"/>
      <c r="P396" s="1"/>
    </row>
    <row r="397" spans="13:16" x14ac:dyDescent="0.3">
      <c r="M397" s="1"/>
      <c r="P397" s="1"/>
    </row>
    <row r="398" spans="13:16" x14ac:dyDescent="0.3">
      <c r="M398" s="1"/>
      <c r="P398" s="1"/>
    </row>
    <row r="399" spans="13:16" x14ac:dyDescent="0.3">
      <c r="M399" s="1"/>
      <c r="P399" s="1"/>
    </row>
    <row r="400" spans="13:16" x14ac:dyDescent="0.3">
      <c r="M400" s="1"/>
      <c r="P400" s="1"/>
    </row>
    <row r="401" spans="13:16" x14ac:dyDescent="0.3">
      <c r="M401" s="1"/>
      <c r="P401" s="1"/>
    </row>
    <row r="402" spans="13:16" x14ac:dyDescent="0.3">
      <c r="M402" s="1"/>
      <c r="P402" s="1"/>
    </row>
    <row r="403" spans="13:16" x14ac:dyDescent="0.3">
      <c r="M403" s="1"/>
      <c r="P403" s="1"/>
    </row>
    <row r="404" spans="13:16" x14ac:dyDescent="0.3">
      <c r="M404" s="1"/>
      <c r="P404" s="1"/>
    </row>
    <row r="405" spans="13:16" x14ac:dyDescent="0.3">
      <c r="M405" s="1"/>
      <c r="P405" s="1"/>
    </row>
    <row r="406" spans="13:16" x14ac:dyDescent="0.3">
      <c r="M406" s="1"/>
      <c r="P406" s="1"/>
    </row>
    <row r="407" spans="13:16" x14ac:dyDescent="0.3">
      <c r="M407" s="1"/>
      <c r="P407" s="1"/>
    </row>
    <row r="408" spans="13:16" x14ac:dyDescent="0.3">
      <c r="M408" s="1"/>
      <c r="P408" s="1"/>
    </row>
    <row r="409" spans="13:16" x14ac:dyDescent="0.3">
      <c r="M409" s="1"/>
      <c r="P409" s="1"/>
    </row>
    <row r="410" spans="13:16" x14ac:dyDescent="0.3">
      <c r="M410" s="1"/>
      <c r="P410" s="1"/>
    </row>
    <row r="411" spans="13:16" x14ac:dyDescent="0.3">
      <c r="M411" s="1"/>
      <c r="P411" s="1"/>
    </row>
    <row r="412" spans="13:16" x14ac:dyDescent="0.3">
      <c r="M412" s="1"/>
      <c r="P412" s="1"/>
    </row>
    <row r="413" spans="13:16" x14ac:dyDescent="0.3">
      <c r="M413" s="1"/>
      <c r="P413" s="1"/>
    </row>
    <row r="414" spans="13:16" x14ac:dyDescent="0.3">
      <c r="M414" s="1"/>
      <c r="P414" s="1"/>
    </row>
    <row r="415" spans="13:16" x14ac:dyDescent="0.3">
      <c r="M415" s="1"/>
      <c r="P415" s="1"/>
    </row>
    <row r="416" spans="13:16" x14ac:dyDescent="0.3">
      <c r="M416" s="1"/>
      <c r="P416" s="1"/>
    </row>
    <row r="417" spans="13:16" x14ac:dyDescent="0.3">
      <c r="M417" s="1"/>
      <c r="P417" s="1"/>
    </row>
    <row r="418" spans="13:16" x14ac:dyDescent="0.3">
      <c r="M418" s="1"/>
      <c r="P418" s="1"/>
    </row>
    <row r="419" spans="13:16" x14ac:dyDescent="0.3">
      <c r="M419" s="1"/>
      <c r="P419" s="1"/>
    </row>
    <row r="420" spans="13:16" x14ac:dyDescent="0.3">
      <c r="M420" s="1"/>
      <c r="P420" s="1"/>
    </row>
    <row r="421" spans="13:16" x14ac:dyDescent="0.3">
      <c r="M421" s="1"/>
      <c r="P421" s="1"/>
    </row>
    <row r="422" spans="13:16" x14ac:dyDescent="0.3">
      <c r="M422" s="1"/>
      <c r="P422" s="1"/>
    </row>
    <row r="423" spans="13:16" x14ac:dyDescent="0.3">
      <c r="M423" s="1"/>
      <c r="P423" s="1"/>
    </row>
    <row r="424" spans="13:16" x14ac:dyDescent="0.3">
      <c r="M424" s="1"/>
      <c r="P424" s="1"/>
    </row>
    <row r="425" spans="13:16" x14ac:dyDescent="0.3">
      <c r="M425" s="1"/>
      <c r="P425" s="1"/>
    </row>
    <row r="426" spans="13:16" x14ac:dyDescent="0.3">
      <c r="M426" s="1"/>
      <c r="P426" s="1"/>
    </row>
    <row r="427" spans="13:16" x14ac:dyDescent="0.3">
      <c r="M427" s="1"/>
      <c r="P427" s="1"/>
    </row>
    <row r="428" spans="13:16" x14ac:dyDescent="0.3">
      <c r="M428" s="1"/>
      <c r="P428" s="1"/>
    </row>
    <row r="429" spans="13:16" x14ac:dyDescent="0.3">
      <c r="M429" s="1"/>
      <c r="P429" s="1"/>
    </row>
    <row r="430" spans="13:16" x14ac:dyDescent="0.3">
      <c r="M430" s="1"/>
      <c r="P430" s="1"/>
    </row>
    <row r="431" spans="13:16" x14ac:dyDescent="0.3">
      <c r="M431" s="1"/>
      <c r="P431" s="1"/>
    </row>
    <row r="432" spans="13:16" x14ac:dyDescent="0.3">
      <c r="M432" s="1"/>
      <c r="P432" s="1"/>
    </row>
    <row r="433" spans="13:16" x14ac:dyDescent="0.3">
      <c r="M433" s="1"/>
      <c r="P433" s="1"/>
    </row>
    <row r="434" spans="13:16" x14ac:dyDescent="0.3">
      <c r="M434" s="1"/>
      <c r="P434" s="1"/>
    </row>
    <row r="435" spans="13:16" x14ac:dyDescent="0.3">
      <c r="M435" s="1"/>
      <c r="P435" s="1"/>
    </row>
    <row r="436" spans="13:16" x14ac:dyDescent="0.3">
      <c r="M436" s="1"/>
      <c r="P436" s="1"/>
    </row>
    <row r="437" spans="13:16" x14ac:dyDescent="0.3">
      <c r="M437" s="1"/>
      <c r="P437" s="1"/>
    </row>
    <row r="438" spans="13:16" x14ac:dyDescent="0.3">
      <c r="M438" s="1"/>
      <c r="P438" s="1"/>
    </row>
    <row r="439" spans="13:16" x14ac:dyDescent="0.3">
      <c r="M439" s="1"/>
      <c r="P439" s="1"/>
    </row>
    <row r="440" spans="13:16" x14ac:dyDescent="0.3">
      <c r="M440" s="1"/>
      <c r="P440" s="1"/>
    </row>
    <row r="441" spans="13:16" x14ac:dyDescent="0.3">
      <c r="M441" s="1"/>
      <c r="P441" s="1"/>
    </row>
    <row r="442" spans="13:16" x14ac:dyDescent="0.3">
      <c r="M442" s="1"/>
      <c r="P442" s="1"/>
    </row>
    <row r="443" spans="13:16" x14ac:dyDescent="0.3">
      <c r="M443" s="1"/>
      <c r="P443" s="1"/>
    </row>
    <row r="444" spans="13:16" x14ac:dyDescent="0.3">
      <c r="M444" s="1"/>
      <c r="P444" s="1"/>
    </row>
    <row r="445" spans="13:16" x14ac:dyDescent="0.3">
      <c r="M445" s="1"/>
      <c r="P445" s="1"/>
    </row>
    <row r="446" spans="13:16" x14ac:dyDescent="0.3">
      <c r="M446" s="1"/>
      <c r="P446" s="1"/>
    </row>
    <row r="447" spans="13:16" x14ac:dyDescent="0.3">
      <c r="M447" s="1"/>
      <c r="P447" s="1"/>
    </row>
    <row r="448" spans="13:16" x14ac:dyDescent="0.3">
      <c r="M448" s="1"/>
      <c r="P448" s="1"/>
    </row>
    <row r="449" spans="13:16" x14ac:dyDescent="0.3">
      <c r="M449" s="1"/>
      <c r="P449" s="1"/>
    </row>
    <row r="450" spans="13:16" x14ac:dyDescent="0.3">
      <c r="M450" s="1"/>
      <c r="P450" s="1"/>
    </row>
    <row r="451" spans="13:16" x14ac:dyDescent="0.3">
      <c r="M451" s="1"/>
      <c r="P451" s="1"/>
    </row>
    <row r="452" spans="13:16" x14ac:dyDescent="0.3">
      <c r="M452" s="1"/>
      <c r="P452" s="1"/>
    </row>
    <row r="453" spans="13:16" x14ac:dyDescent="0.3">
      <c r="M453" s="1"/>
      <c r="P453" s="1"/>
    </row>
    <row r="454" spans="13:16" x14ac:dyDescent="0.3">
      <c r="M454" s="1"/>
      <c r="P454" s="1"/>
    </row>
    <row r="455" spans="13:16" x14ac:dyDescent="0.3">
      <c r="M455" s="1"/>
      <c r="P455" s="1"/>
    </row>
    <row r="456" spans="13:16" x14ac:dyDescent="0.3">
      <c r="M456" s="1"/>
      <c r="P456" s="1"/>
    </row>
    <row r="457" spans="13:16" x14ac:dyDescent="0.3">
      <c r="M457" s="1"/>
      <c r="P457" s="1"/>
    </row>
    <row r="458" spans="13:16" x14ac:dyDescent="0.3">
      <c r="M458" s="1"/>
      <c r="P458" s="1"/>
    </row>
    <row r="459" spans="13:16" x14ac:dyDescent="0.3">
      <c r="M459" s="1"/>
      <c r="P459" s="1"/>
    </row>
    <row r="460" spans="13:16" x14ac:dyDescent="0.3">
      <c r="M460" s="1"/>
      <c r="P460" s="1"/>
    </row>
    <row r="461" spans="13:16" x14ac:dyDescent="0.3">
      <c r="M461" s="1"/>
      <c r="P461" s="1"/>
    </row>
    <row r="462" spans="13:16" x14ac:dyDescent="0.3">
      <c r="M462" s="1"/>
      <c r="P462" s="1"/>
    </row>
    <row r="463" spans="13:16" x14ac:dyDescent="0.3">
      <c r="M463" s="1"/>
      <c r="P463" s="1"/>
    </row>
    <row r="464" spans="13:16" x14ac:dyDescent="0.3">
      <c r="M464" s="1"/>
      <c r="P464" s="1"/>
    </row>
    <row r="465" spans="13:16" x14ac:dyDescent="0.3">
      <c r="M465" s="1"/>
      <c r="P465" s="1"/>
    </row>
    <row r="466" spans="13:16" x14ac:dyDescent="0.3">
      <c r="M466" s="1"/>
      <c r="P466" s="1"/>
    </row>
    <row r="467" spans="13:16" x14ac:dyDescent="0.3">
      <c r="M467" s="1"/>
      <c r="P467" s="1"/>
    </row>
    <row r="468" spans="13:16" x14ac:dyDescent="0.3">
      <c r="M468" s="1"/>
      <c r="P468" s="1"/>
    </row>
    <row r="469" spans="13:16" x14ac:dyDescent="0.3">
      <c r="M469" s="1"/>
      <c r="P469" s="1"/>
    </row>
    <row r="470" spans="13:16" x14ac:dyDescent="0.3">
      <c r="M470" s="1"/>
      <c r="P470" s="1"/>
    </row>
    <row r="471" spans="13:16" x14ac:dyDescent="0.3">
      <c r="M471" s="1"/>
      <c r="P471" s="1"/>
    </row>
    <row r="472" spans="13:16" x14ac:dyDescent="0.3">
      <c r="M472" s="1"/>
      <c r="P472" s="1"/>
    </row>
    <row r="473" spans="13:16" x14ac:dyDescent="0.3">
      <c r="M473" s="1"/>
      <c r="P473" s="1"/>
    </row>
    <row r="474" spans="13:16" x14ac:dyDescent="0.3">
      <c r="M474" s="1"/>
      <c r="P474" s="1"/>
    </row>
    <row r="475" spans="13:16" x14ac:dyDescent="0.3">
      <c r="M475" s="1"/>
      <c r="P475" s="1"/>
    </row>
    <row r="476" spans="13:16" x14ac:dyDescent="0.3">
      <c r="M476" s="1"/>
      <c r="P476" s="1"/>
    </row>
    <row r="477" spans="13:16" x14ac:dyDescent="0.3">
      <c r="M477" s="1"/>
      <c r="P477" s="1"/>
    </row>
    <row r="478" spans="13:16" x14ac:dyDescent="0.3">
      <c r="M478" s="1"/>
      <c r="P478" s="1"/>
    </row>
    <row r="479" spans="13:16" x14ac:dyDescent="0.3">
      <c r="M479" s="1"/>
      <c r="P479" s="1"/>
    </row>
    <row r="480" spans="13:16" x14ac:dyDescent="0.3">
      <c r="M480" s="1"/>
      <c r="P480" s="1"/>
    </row>
    <row r="481" spans="13:16" x14ac:dyDescent="0.3">
      <c r="M481" s="1"/>
      <c r="P481" s="1"/>
    </row>
    <row r="482" spans="13:16" x14ac:dyDescent="0.3">
      <c r="M482" s="1"/>
      <c r="P482" s="1"/>
    </row>
    <row r="483" spans="13:16" x14ac:dyDescent="0.3">
      <c r="M483" s="1"/>
      <c r="P483" s="1"/>
    </row>
    <row r="484" spans="13:16" x14ac:dyDescent="0.3">
      <c r="M484" s="1"/>
      <c r="P484" s="1"/>
    </row>
    <row r="485" spans="13:16" x14ac:dyDescent="0.3">
      <c r="M485" s="1"/>
      <c r="P485" s="1"/>
    </row>
    <row r="486" spans="13:16" x14ac:dyDescent="0.3">
      <c r="M486" s="1"/>
      <c r="P486" s="1"/>
    </row>
    <row r="487" spans="13:16" x14ac:dyDescent="0.3">
      <c r="M487" s="1"/>
      <c r="P487" s="1"/>
    </row>
    <row r="488" spans="13:16" x14ac:dyDescent="0.3">
      <c r="M488" s="1"/>
      <c r="P488" s="1"/>
    </row>
    <row r="489" spans="13:16" x14ac:dyDescent="0.3">
      <c r="M489" s="1"/>
      <c r="P489" s="1"/>
    </row>
    <row r="490" spans="13:16" x14ac:dyDescent="0.3">
      <c r="M490" s="1"/>
      <c r="P490" s="1"/>
    </row>
    <row r="491" spans="13:16" x14ac:dyDescent="0.3">
      <c r="M491" s="1"/>
      <c r="P491" s="1"/>
    </row>
    <row r="492" spans="13:16" x14ac:dyDescent="0.3">
      <c r="M492" s="1"/>
      <c r="P492" s="1"/>
    </row>
    <row r="493" spans="13:16" x14ac:dyDescent="0.3">
      <c r="M493" s="1"/>
      <c r="P493" s="1"/>
    </row>
    <row r="494" spans="13:16" x14ac:dyDescent="0.3">
      <c r="M494" s="1"/>
      <c r="P494" s="1"/>
    </row>
    <row r="495" spans="13:16" x14ac:dyDescent="0.3">
      <c r="M495" s="1"/>
      <c r="P495" s="1"/>
    </row>
    <row r="496" spans="13:16" x14ac:dyDescent="0.3">
      <c r="M496" s="1"/>
      <c r="P496" s="1"/>
    </row>
    <row r="497" spans="13:16" x14ac:dyDescent="0.3">
      <c r="M497" s="1"/>
      <c r="P497" s="1"/>
    </row>
    <row r="498" spans="13:16" x14ac:dyDescent="0.3">
      <c r="M498" s="1"/>
      <c r="P498" s="1"/>
    </row>
    <row r="499" spans="13:16" x14ac:dyDescent="0.3">
      <c r="M499" s="1"/>
      <c r="P499" s="1"/>
    </row>
    <row r="500" spans="13:16" x14ac:dyDescent="0.3">
      <c r="M500" s="1"/>
      <c r="P500" s="1"/>
    </row>
    <row r="501" spans="13:16" x14ac:dyDescent="0.3">
      <c r="M501" s="1"/>
      <c r="P501" s="1"/>
    </row>
    <row r="502" spans="13:16" x14ac:dyDescent="0.3">
      <c r="M502" s="1"/>
      <c r="P502" s="1"/>
    </row>
  </sheetData>
  <mergeCells count="2">
    <mergeCell ref="A1:C1"/>
    <mergeCell ref="D1:K1"/>
  </mergeCells>
  <phoneticPr fontId="2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Farrell</dc:creator>
  <cp:lastModifiedBy>Jesse Farrell</cp:lastModifiedBy>
  <dcterms:created xsi:type="dcterms:W3CDTF">2026-06-28T23:25:22Z</dcterms:created>
  <dcterms:modified xsi:type="dcterms:W3CDTF">2026-09-15T05:11:32Z</dcterms:modified>
</cp:coreProperties>
</file>